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richards\WMP\WMP\Projects\T210\SystemArchitecture\"/>
    </mc:Choice>
  </mc:AlternateContent>
  <xr:revisionPtr revIDLastSave="0" documentId="13_ncr:1_{34481B69-62EF-4BBD-904E-FB4D7DF342FA}" xr6:coauthVersionLast="41" xr6:coauthVersionMax="41" xr10:uidLastSave="{00000000-0000-0000-0000-000000000000}"/>
  <bookViews>
    <workbookView xWindow="-28920" yWindow="-120" windowWidth="29040" windowHeight="16440" tabRatio="711" xr2:uid="{00000000-000D-0000-FFFF-FFFF00000000}"/>
  </bookViews>
  <sheets>
    <sheet name="Customer Readme" sheetId="18" r:id="rId1"/>
    <sheet name="Jetson_Nano_DevKit" sheetId="48" r:id="rId2"/>
  </sheets>
  <functionGroups builtInGroupCount="19"/>
  <definedNames>
    <definedName name="_xlnm._FilterDatabase" localSheetId="1" hidden="1">Jetson_Nano_DevKit!$C$1:$C$630</definedName>
    <definedName name="AllowedPinDirection_GPIO" localSheetId="1">Jetson_Nano_DevKit!$M$7</definedName>
    <definedName name="AllowedPinDirection_GPIO">#REF!</definedName>
    <definedName name="AllowedPinDirection_SFIO0" localSheetId="1">Jetson_Nano_DevKit!$N$7</definedName>
    <definedName name="AllowedPinDirection_SFIO0">#REF!</definedName>
    <definedName name="AllowedPinDirection_SFIO1" localSheetId="1">Jetson_Nano_DevKit!$O$7</definedName>
    <definedName name="AllowedPinDirection_SFIO1">#REF!</definedName>
    <definedName name="AllowedPinDirection_SFIO2" localSheetId="1">Jetson_Nano_DevKit!$P$7</definedName>
    <definedName name="AllowedPinDirection_SFIO2">#REF!</definedName>
    <definedName name="AllowedPinDirection_SFIO3" localSheetId="1">Jetson_Nano_DevKit!$Q$7</definedName>
    <definedName name="AllowedPinDirection_SFIO3">#REF!</definedName>
    <definedName name="Boot_Config_Checker" localSheetId="1">Jetson_Nano_DevKit!$AQ$7</definedName>
    <definedName name="BootDevice" localSheetId="1">Jetson_Nano_DevKit!$BC$4</definedName>
    <definedName name="BootInterface" localSheetId="1">Jetson_Nano_DevKit!$AC$7</definedName>
    <definedName name="BootInterfaceConfig" localSheetId="1">Jetson_Nano_DevKit!$AD$7</definedName>
    <definedName name="ConfigFirstCell" localSheetId="1">Jetson_Nano_DevKit!$AE$10</definedName>
    <definedName name="ConfigLastCell" localSheetId="1">Jetson_Nano_DevKit!$AI$231</definedName>
    <definedName name="Customer_Usage" localSheetId="1">Jetson_Nano_DevKit!$AS$7</definedName>
    <definedName name="Customer_Usage_Checker" localSheetId="1">Jetson_Nano_DevKit!$AK$7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Jetson_Nano_DevKit!$AI$7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Jetson_Nano_DevKit!$AR$7</definedName>
    <definedName name="Ext_Pull_Down" localSheetId="1">Jetson_Nano_DevKit!$AZ$7</definedName>
    <definedName name="Ext_Pull_Down">#REF!</definedName>
    <definedName name="Ext_Pull_Up" localSheetId="1">Jetson_Nano_DevKit!$AY$7</definedName>
    <definedName name="Ext_Pull_Up">#REF!</definedName>
    <definedName name="FirstMPIO" localSheetId="1">Jetson_Nano_DevKit!$D$10</definedName>
    <definedName name="FirstPinMuxingOption" localSheetId="1">Jetson_Nano_DevKit!$H$10</definedName>
    <definedName name="Foster_Config_FirCol">COLUMN(#REF!)</definedName>
    <definedName name="Foster_Config_Table">#REF!</definedName>
    <definedName name="Function_0" localSheetId="1">Jetson_Nano_DevKit!$R$7</definedName>
    <definedName name="Function_Safe" localSheetId="1">Jetson_Nano_DevKit!$V$7</definedName>
    <definedName name="GPIO_Init_Value" localSheetId="1">Jetson_Nano_DevKit!$AJ$7</definedName>
    <definedName name="Hawkeye_Config_FirCol">COLUMN(#REF!)</definedName>
    <definedName name="Hawkeye_Config_Table">#REF!</definedName>
    <definedName name="Initial_State" localSheetId="1">Jetson_Nano_DevKit!$AU$7</definedName>
    <definedName name="Initial_State">#REF!</definedName>
    <definedName name="Initial_State_Checker" localSheetId="1">Jetson_Nano_DevKit!$AL$7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Jetson_Nano_DevKit!$D$231</definedName>
    <definedName name="LastSignameRow">#REF!</definedName>
    <definedName name="Lock" localSheetId="1">Jetson_Nano_DevKit!$AW$7</definedName>
    <definedName name="Loki_Config_FirCol">COLUMN(#REF!)</definedName>
    <definedName name="Loki_Config_Table">#REF!</definedName>
    <definedName name="MPIOName" localSheetId="1">Jetson_Nano_DevKit!$W$7</definedName>
    <definedName name="OrcaRacer_Config_FirCol">COLUMN(#REF!)</definedName>
    <definedName name="OrcaRacer_Config_Table">#REF!</definedName>
    <definedName name="PartOfBootInterface" localSheetId="1">Jetson_Nano_DevKit!$AB$7</definedName>
    <definedName name="Pin_Direction" localSheetId="1">Jetson_Nano_DevKit!$AT$7</definedName>
    <definedName name="Pin_Direction_Checker" localSheetId="1">Jetson_Nano_DevKit!$AM$7</definedName>
    <definedName name="Pin_Direction_Checker">#REF!</definedName>
    <definedName name="Pin_Group" localSheetId="1">Jetson_Nano_DevKit!$AE$7</definedName>
    <definedName name="Pinmux_GPIO" localSheetId="1">Jetson_Nano_DevKit!$H$7</definedName>
    <definedName name="Pinmux_GPIO">#REF!</definedName>
    <definedName name="Pinmux_SFIO0" localSheetId="1">Jetson_Nano_DevKit!$I$7</definedName>
    <definedName name="Pinmux_SFIO0">#REF!</definedName>
    <definedName name="Pinmux_SFIO1" localSheetId="1">Jetson_Nano_DevKit!$J$7</definedName>
    <definedName name="Pinmux_SFIO1">#REF!</definedName>
    <definedName name="Pinmux_SFIO2" localSheetId="1">Jetson_Nano_DevKit!$K$7</definedName>
    <definedName name="Pinmux_SFIO2">#REF!</definedName>
    <definedName name="Pinmux_SFIO3" localSheetId="1">Jetson_Nano_DevKit!$L$7</definedName>
    <definedName name="Pinmux_SFIO3">#REF!</definedName>
    <definedName name="Pinmux_Unused" localSheetId="1">Jetson_Nano_DevKit!$G$7</definedName>
    <definedName name="Pinmux_Unused">#REF!</definedName>
    <definedName name="Proto_Darcy_Config_FirCol">COLUMN(#REF!)</definedName>
    <definedName name="Proto_Darcy_Config_Table">#REF!</definedName>
    <definedName name="PUPD" localSheetId="1">Jetson_Nano_DevKit!$AG$7</definedName>
    <definedName name="PX_Config_FirCol">COLUMN(#REF!)</definedName>
    <definedName name="PX_Config_Table">#REF!</definedName>
    <definedName name="RCV_SEL" localSheetId="1">Jetson_Nano_DevKit!$AX$7</definedName>
    <definedName name="RCV_SEL_Checker" localSheetId="1">Jetson_Nano_DevKit!$AP$7</definedName>
    <definedName name="RCV_SEL_Checker">#REF!</definedName>
    <definedName name="Resistor_Checker" localSheetId="1">Jetson_Nano_DevKit!$AO$7</definedName>
    <definedName name="Resistor_Checker">#REF!</definedName>
    <definedName name="Tristate" localSheetId="1">Jetson_Nano_DevKit!$AH$7</definedName>
    <definedName name="Wake_Checker" localSheetId="1">Jetson_Nano_DevKit!$AN$7</definedName>
    <definedName name="Wake_Checker">#REF!</definedName>
    <definedName name="Wake_Pin" localSheetId="1">Jetson_Nano_DevKit!$AV$7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48" l="1"/>
  <c r="C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<sst xmlns="http://schemas.openxmlformats.org/spreadsheetml/2006/main" count="9010" uniqueCount="2881">
  <si>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</si>
  <si>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</si>
  <si>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</si>
  <si>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</si>
  <si>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</si>
  <si>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</si>
  <si>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</si>
  <si>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</si>
  <si>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</si>
  <si>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</si>
  <si>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</si>
  <si>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</si>
  <si>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</si>
  <si>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</si>
  <si>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</si>
  <si>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</si>
  <si>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</si>
  <si>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</si>
  <si>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</si>
  <si>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</si>
  <si>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</si>
  <si>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</si>
  <si>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</si>
  <si>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</si>
  <si>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</si>
  <si>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</si>
  <si>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</si>
  <si>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</si>
  <si>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</si>
  <si>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</si>
  <si>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</si>
  <si>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</si>
  <si>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</si>
  <si>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</si>
  <si>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</si>
  <si>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</si>
  <si>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</si>
  <si>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</si>
  <si>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</si>
  <si>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</si>
  <si>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</si>
  <si>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</si>
  <si>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</si>
  <si>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</si>
  <si>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</si>
  <si>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</si>
  <si>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</si>
  <si>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</si>
  <si>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</si>
  <si>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</si>
  <si>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</si>
  <si>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</si>
  <si>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</si>
  <si>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</si>
  <si>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</si>
  <si>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</si>
  <si>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</si>
  <si>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</si>
  <si>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</si>
  <si>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</si>
  <si>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</si>
  <si>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</si>
  <si>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</si>
  <si>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</si>
  <si>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</si>
  <si>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</si>
  <si>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</si>
  <si>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</si>
  <si>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</si>
  <si>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</si>
  <si>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</si>
  <si>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</si>
  <si>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</si>
  <si>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</si>
  <si>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</si>
  <si>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</si>
  <si>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</si>
  <si>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</si>
  <si>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</si>
  <si>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</si>
  <si>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</si>
  <si>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</si>
  <si>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</si>
  <si>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</si>
  <si>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</si>
  <si>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</si>
  <si>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</si>
  <si>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</si>
  <si>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</si>
  <si>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</si>
  <si>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</si>
  <si>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</si>
  <si>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</si>
  <si>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</si>
  <si>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</si>
  <si>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</si>
  <si>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</si>
  <si>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</si>
  <si>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</si>
  <si>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</si>
  <si>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</si>
  <si>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</si>
  <si>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</si>
  <si>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</si>
  <si>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</si>
  <si>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</si>
  <si>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</si>
  <si>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</si>
  <si>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</si>
  <si>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</si>
  <si>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</si>
  <si>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</si>
  <si>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</si>
  <si>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</si>
  <si>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</si>
  <si>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</si>
  <si>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</si>
  <si>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</si>
  <si>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</si>
  <si>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</si>
  <si>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</si>
  <si>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</si>
  <si>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</si>
  <si>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</si>
  <si>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</si>
  <si>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</si>
  <si>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</si>
  <si>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</si>
  <si>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</si>
  <si>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</si>
  <si>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</si>
  <si>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</si>
  <si>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</si>
  <si>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</si>
  <si>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</si>
  <si>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</si>
  <si>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</si>
  <si>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</si>
  <si>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</si>
  <si>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</si>
  <si>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</si>
  <si>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</si>
  <si>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</si>
  <si>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</si>
  <si>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</si>
  <si>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</si>
  <si>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</si>
  <si>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</si>
  <si>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</si>
  <si>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</si>
  <si>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</si>
  <si>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</si>
  <si>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</si>
  <si>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</si>
  <si>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</si>
  <si>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</si>
  <si>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</si>
  <si>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</si>
  <si>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</si>
  <si>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</si>
  <si>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</si>
  <si>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</si>
  <si>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</si>
  <si>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</si>
  <si>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</si>
  <si>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</si>
  <si>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</si>
  <si>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</si>
  <si>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</si>
  <si>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</si>
  <si>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</si>
  <si>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</si>
  <si>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</si>
  <si>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</si>
  <si>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</si>
  <si>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</si>
  <si>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</si>
  <si>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</si>
  <si>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</si>
  <si>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</si>
  <si>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</si>
  <si>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</si>
  <si>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</si>
  <si>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</si>
  <si>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</si>
  <si>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</si>
  <si>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</si>
  <si>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</si>
  <si>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</si>
  <si>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</si>
  <si>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</si>
  <si>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</si>
  <si>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</si>
  <si>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</si>
  <si>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</si>
  <si>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</si>
  <si>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</si>
  <si>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</si>
  <si>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</si>
  <si>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</si>
  <si>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</si>
  <si>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</si>
  <si>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</si>
  <si>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</si>
  <si>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</si>
  <si>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</si>
  <si>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</si>
  <si>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</si>
  <si>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</si>
  <si>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</si>
  <si>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</si>
  <si>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</si>
  <si>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</si>
  <si>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</si>
  <si>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</si>
  <si>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</si>
  <si>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</si>
  <si>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</si>
  <si>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</si>
  <si>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</si>
  <si>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</si>
  <si>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</si>
  <si>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</si>
  <si>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</si>
  <si>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</si>
  <si>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</si>
  <si>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</si>
  <si>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</si>
  <si>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</si>
  <si>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</si>
  <si>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</si>
  <si>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</si>
  <si>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</si>
  <si>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</si>
  <si>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</si>
  <si>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</si>
  <si>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</si>
  <si>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</si>
  <si>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</si>
  <si>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</si>
  <si>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</si>
  <si>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</si>
  <si>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</si>
  <si>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</si>
  <si>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</si>
  <si>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</si>
  <si>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</si>
  <si>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</si>
  <si>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</si>
  <si>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</si>
  <si>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</si>
  <si>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</si>
  <si>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</si>
  <si>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</si>
  <si>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</si>
  <si>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</si>
  <si>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</si>
  <si>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</si>
  <si>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</si>
  <si>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</si>
  <si>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</si>
  <si>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</si>
  <si>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</si>
  <si>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</si>
  <si>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</si>
  <si>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</si>
  <si>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</si>
  <si>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</si>
  <si>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</si>
  <si>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</si>
  <si>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</si>
  <si>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</si>
  <si>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</si>
  <si>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</si>
  <si>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</si>
  <si>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</si>
  <si>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</si>
  <si>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</si>
  <si>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</si>
  <si>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</si>
  <si>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</si>
  <si>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</si>
  <si>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</si>
  <si>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</si>
  <si>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</si>
  <si>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</si>
  <si>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</si>
  <si>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</si>
  <si>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</si>
  <si>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</si>
  <si>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</si>
  <si>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</si>
  <si>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</si>
  <si>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</si>
  <si>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</si>
  <si>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</si>
  <si>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</si>
  <si>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</si>
  <si>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</si>
  <si>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</si>
  <si>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</si>
  <si>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</si>
  <si>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</si>
  <si>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</si>
  <si>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</si>
  <si>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</si>
  <si>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</si>
  <si>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</si>
  <si>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</si>
  <si>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</si>
  <si>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</si>
  <si>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</si>
  <si>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</si>
  <si>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</si>
  <si>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</si>
  <si>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</si>
  <si>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</si>
  <si>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</si>
  <si>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</si>
  <si>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</si>
  <si>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</si>
  <si>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</si>
  <si>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</si>
  <si>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</si>
  <si>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</si>
  <si>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</si>
  <si>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</si>
  <si>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</si>
  <si>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</si>
  <si>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</si>
  <si>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</si>
  <si>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</si>
  <si>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</si>
  <si>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</si>
  <si>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</si>
  <si>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</si>
  <si>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</si>
  <si>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</si>
  <si>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</si>
  <si>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</si>
  <si>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</si>
  <si>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</si>
  <si>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</si>
  <si>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</si>
  <si>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</si>
  <si>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</si>
  <si>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</si>
  <si>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</si>
  <si>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</si>
  <si>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</si>
  <si>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</si>
  <si>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</si>
  <si>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</si>
  <si>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</si>
  <si>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</si>
  <si>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</si>
  <si>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</si>
  <si>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</si>
  <si>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</si>
  <si>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</si>
  <si>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</si>
  <si>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</si>
  <si>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</si>
  <si>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</si>
  <si>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</si>
  <si>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</si>
  <si>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</si>
  <si>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</si>
  <si>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</si>
  <si>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</si>
  <si>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</si>
  <si>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</si>
  <si>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</si>
  <si>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</si>
  <si>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</si>
  <si>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</si>
  <si>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</si>
  <si>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</si>
  <si>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</si>
  <si>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</si>
  <si>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</si>
  <si>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</si>
  <si>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</si>
  <si>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</si>
  <si>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</si>
  <si>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</si>
  <si>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</si>
  <si>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</si>
  <si>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</si>
  <si>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</si>
  <si>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</si>
  <si>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</si>
  <si>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</si>
  <si>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</si>
  <si>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</si>
  <si>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</si>
  <si>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</si>
  <si>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</si>
  <si>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</si>
  <si>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</si>
  <si>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</si>
  <si>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</si>
  <si>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</si>
  <si>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</si>
  <si>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</si>
  <si>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</si>
  <si>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</si>
  <si>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</si>
  <si>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</si>
  <si>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</si>
  <si>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</si>
  <si>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</si>
  <si>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</si>
  <si>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</si>
  <si>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</si>
  <si>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</si>
  <si>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</si>
  <si>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</si>
  <si>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</si>
  <si>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</si>
  <si>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</si>
  <si>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</si>
  <si>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</si>
  <si>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</si>
  <si>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</si>
  <si>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</si>
  <si>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</si>
  <si>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</si>
  <si>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</si>
  <si>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</si>
  <si>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</si>
  <si>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</si>
  <si>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</si>
  <si>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</si>
  <si>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</si>
  <si>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</si>
  <si>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</si>
  <si>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</si>
  <si>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</si>
  <si>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</si>
  <si>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</si>
  <si>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</si>
  <si>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</si>
  <si>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</si>
  <si>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</si>
  <si>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</si>
  <si>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</si>
  <si>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</si>
  <si>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</si>
  <si>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</si>
  <si>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</si>
  <si>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</si>
  <si>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</si>
  <si>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</si>
  <si>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</si>
  <si>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</si>
  <si>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</si>
  <si>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</si>
  <si>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</si>
  <si>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</si>
  <si>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</si>
  <si>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</si>
  <si>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</si>
  <si>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</si>
  <si>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</si>
  <si>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</si>
  <si>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</si>
  <si>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</si>
  <si>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</si>
  <si>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</si>
  <si>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</si>
  <si>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</si>
  <si>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</si>
  <si>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</si>
  <si>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</si>
  <si>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</si>
  <si>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</si>
  <si>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</si>
  <si>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</si>
  <si>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</si>
  <si>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</si>
  <si>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</si>
  <si>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</si>
  <si>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</si>
  <si>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</si>
  <si>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</si>
  <si>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</si>
  <si>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</si>
  <si>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</si>
  <si>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</si>
  <si>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</si>
  <si>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</si>
  <si>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</si>
  <si>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</si>
  <si>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</si>
  <si>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</si>
  <si>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</si>
  <si>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</si>
  <si>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</si>
  <si>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</si>
  <si>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</si>
  <si>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</si>
  <si>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</si>
  <si>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</si>
  <si>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</si>
  <si>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</si>
  <si>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</si>
  <si>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</si>
  <si>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</si>
  <si>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</si>
  <si>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</si>
  <si>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</si>
  <si>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</si>
  <si>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</si>
  <si>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</si>
  <si>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</si>
  <si>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</si>
  <si>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</si>
  <si>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</si>
  <si>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</si>
  <si>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</si>
  <si>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</si>
  <si>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</si>
  <si>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</si>
  <si>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</si>
  <si>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</si>
  <si>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</si>
  <si>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</si>
  <si>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</si>
  <si>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</si>
  <si>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</si>
  <si>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</si>
  <si>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</si>
  <si>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</si>
  <si>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</si>
  <si>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</si>
  <si>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</si>
  <si>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</si>
  <si>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</si>
  <si>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</si>
  <si>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</si>
  <si>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</si>
  <si>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</si>
  <si>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</si>
  <si>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</si>
  <si>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</si>
  <si>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</si>
  <si>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</si>
  <si>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</si>
  <si>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</si>
  <si>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</si>
  <si>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</si>
  <si>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</si>
  <si>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</si>
  <si>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</si>
  <si>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</si>
  <si>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</si>
  <si>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</si>
  <si>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</si>
  <si>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</si>
  <si>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</si>
  <si>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</si>
  <si>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</si>
  <si>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</si>
  <si>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</si>
  <si>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</si>
  <si>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</si>
  <si>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</si>
  <si>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</si>
  <si>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</si>
  <si>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</si>
  <si>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</si>
  <si>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</si>
  <si>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</si>
  <si>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</si>
  <si>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</si>
  <si>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</si>
  <si>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</si>
  <si>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</si>
  <si>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</si>
  <si>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</si>
  <si>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</si>
  <si>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</si>
  <si>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</si>
  <si>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</si>
  <si>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</si>
  <si>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</si>
  <si>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</si>
  <si>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</si>
  <si>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</si>
  <si>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</si>
  <si>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</si>
  <si>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</si>
  <si>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</si>
  <si>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</si>
  <si>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</si>
  <si>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</si>
  <si>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</si>
  <si>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</si>
  <si>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</si>
  <si>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</si>
  <si>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</si>
  <si>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</si>
  <si>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</si>
  <si>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</si>
  <si>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</si>
  <si>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</si>
  <si>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</si>
  <si>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</si>
  <si>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</si>
  <si>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</si>
  <si>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</si>
  <si>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</si>
  <si>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</si>
  <si>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</si>
  <si>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</si>
  <si>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</si>
  <si>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</si>
  <si>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</si>
  <si>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</si>
  <si>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</si>
  <si>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</si>
  <si>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</si>
  <si>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</si>
  <si>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</si>
  <si>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</si>
  <si>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</si>
  <si>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</si>
  <si>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</si>
  <si>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</si>
  <si>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</si>
  <si>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</si>
  <si>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</si>
  <si>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</si>
  <si>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</si>
  <si>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</si>
  <si>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</si>
  <si>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</si>
  <si>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</si>
  <si>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</si>
  <si>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</si>
  <si>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</si>
  <si>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</si>
  <si>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</si>
  <si>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</si>
  <si>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</si>
  <si>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</si>
  <si>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</si>
  <si>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</si>
  <si>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</si>
  <si>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</si>
  <si>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</si>
  <si>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</si>
  <si>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</si>
  <si>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</si>
  <si>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</si>
  <si>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</si>
  <si>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</si>
  <si>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</si>
  <si>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</si>
  <si>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</si>
  <si>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</si>
  <si>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</si>
  <si>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</si>
  <si>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</si>
  <si>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</si>
  <si>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</si>
  <si>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</si>
  <si>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</si>
  <si>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</si>
  <si>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</si>
  <si>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</si>
  <si>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</si>
  <si>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</si>
  <si>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</si>
  <si>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</si>
  <si>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</si>
  <si>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</si>
  <si>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</si>
  <si>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</si>
  <si>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</si>
  <si>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</si>
  <si>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</si>
  <si>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</si>
  <si>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</si>
  <si>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</si>
  <si>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</si>
  <si>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</si>
  <si>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</si>
  <si>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</si>
  <si>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</si>
  <si>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</si>
  <si>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</si>
  <si>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</si>
  <si>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</si>
  <si>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</si>
  <si>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</si>
  <si>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</si>
  <si>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</si>
  <si>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</si>
  <si>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</si>
  <si>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</si>
  <si>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</si>
  <si>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</si>
  <si>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</si>
  <si>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</si>
  <si>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</si>
  <si>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</si>
  <si>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</si>
  <si>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</si>
  <si>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</si>
  <si>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</si>
  <si>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</si>
  <si>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</si>
  <si>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</si>
  <si>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</si>
  <si>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</si>
  <si>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</si>
  <si>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</si>
  <si>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</si>
  <si>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</si>
  <si>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</si>
  <si>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</si>
  <si>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</si>
  <si>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</si>
  <si>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</si>
  <si>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</si>
  <si>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</si>
  <si>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</si>
  <si>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</si>
  <si>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</si>
  <si>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</si>
  <si>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</si>
  <si>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</si>
  <si>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</si>
  <si>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</si>
  <si>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</si>
  <si>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</si>
  <si>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</si>
  <si>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</si>
  <si>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</si>
  <si>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</si>
  <si>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</si>
  <si>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</si>
  <si>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</si>
  <si>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</si>
  <si>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</si>
  <si>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</si>
  <si>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</si>
  <si>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</si>
  <si>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</si>
  <si>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</si>
  <si>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</si>
  <si>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</si>
  <si>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</si>
  <si>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</si>
  <si>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</si>
  <si>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</si>
  <si>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</si>
  <si>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</si>
  <si>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</si>
  <si>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</si>
  <si>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</si>
  <si>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</si>
  <si>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</si>
  <si>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</si>
  <si>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</si>
  <si>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</si>
  <si>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</si>
  <si>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</si>
  <si>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</si>
  <si>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</si>
  <si>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</si>
  <si>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</si>
  <si>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</si>
  <si>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</si>
  <si>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</si>
  <si>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</si>
  <si>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</si>
  <si>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</si>
  <si>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</si>
  <si>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</si>
  <si>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</si>
  <si>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</si>
  <si>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</si>
  <si>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</si>
  <si>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</si>
  <si>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</si>
  <si>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</si>
  <si>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</si>
  <si>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</si>
  <si>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</si>
  <si>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</si>
  <si>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</si>
  <si>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</si>
  <si>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</si>
  <si>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</si>
  <si>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</si>
  <si>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</si>
  <si>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</si>
  <si>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</si>
  <si>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</si>
  <si>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</si>
  <si>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</si>
  <si>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</si>
  <si>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</si>
  <si>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</si>
  <si>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</si>
  <si>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</si>
  <si>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</si>
  <si>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</si>
  <si>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</si>
  <si>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</si>
  <si>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</si>
  <si>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</si>
  <si>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</si>
  <si>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</si>
  <si>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</si>
  <si>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</si>
  <si>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</si>
  <si>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</si>
  <si>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</si>
  <si>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</si>
  <si>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</si>
  <si>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</si>
  <si>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</si>
  <si>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</si>
  <si>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</si>
  <si>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</si>
  <si>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</si>
  <si>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</si>
  <si>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</si>
  <si>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</si>
  <si>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</si>
  <si>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</si>
  <si>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</si>
  <si>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</si>
  <si>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</si>
  <si>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</si>
  <si>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</si>
  <si>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</si>
  <si>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</si>
  <si>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</si>
  <si>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</si>
  <si>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</si>
  <si>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</si>
  <si>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</si>
  <si>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</si>
  <si>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</si>
  <si>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</si>
  <si>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</si>
  <si>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</si>
  <si>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</si>
  <si>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</si>
  <si>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</si>
  <si>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</si>
  <si>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</si>
  <si>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</si>
  <si>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</si>
  <si>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</si>
  <si>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</si>
  <si>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</si>
  <si>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</si>
  <si>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</si>
  <si>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</si>
  <si>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</si>
  <si>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</si>
  <si>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</si>
  <si>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</si>
  <si>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</si>
  <si>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</si>
  <si>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</si>
  <si>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</si>
  <si>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</si>
  <si>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</si>
  <si>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</si>
  <si>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</si>
  <si>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</si>
  <si>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</si>
  <si>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</si>
  <si>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</si>
  <si>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</si>
  <si>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</si>
  <si>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</si>
  <si>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</si>
  <si>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</si>
  <si>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</si>
  <si>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</si>
  <si>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</si>
  <si>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</si>
  <si>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</si>
  <si>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</si>
  <si>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</si>
  <si>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</si>
  <si>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</si>
  <si>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</si>
  <si>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</si>
  <si>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</si>
  <si>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</si>
  <si>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</si>
  <si>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</si>
  <si>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</si>
  <si>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</si>
  <si>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</si>
  <si>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</si>
  <si>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</si>
  <si>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</si>
  <si>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</si>
  <si>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</si>
  <si>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</si>
  <si>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</si>
  <si>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</si>
  <si>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</si>
  <si>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</si>
  <si>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</si>
  <si>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</si>
  <si>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</si>
  <si>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</si>
  <si>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</si>
  <si>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</si>
  <si>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</si>
  <si>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</si>
  <si>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</si>
  <si>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</si>
  <si>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</si>
  <si>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</si>
  <si>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</si>
  <si>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</si>
  <si>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</si>
  <si>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</si>
  <si>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</si>
  <si>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</si>
  <si>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</si>
  <si>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</si>
  <si>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</si>
  <si>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</si>
  <si>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</si>
  <si>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</si>
  <si>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</si>
  <si>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</si>
  <si>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</si>
  <si>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</si>
  <si>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</si>
  <si>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</si>
  <si>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</si>
  <si>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</si>
  <si>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</si>
  <si>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</si>
  <si>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</si>
  <si>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</si>
  <si>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</si>
  <si>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</si>
  <si>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</si>
  <si>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</si>
  <si>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</si>
  <si>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</si>
  <si>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</si>
  <si>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</si>
  <si>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</si>
  <si>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</si>
  <si>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</si>
  <si>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</si>
  <si>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</si>
  <si>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</si>
  <si>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</si>
  <si>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</si>
  <si>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</si>
  <si>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</si>
  <si>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</si>
  <si>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</si>
  <si>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</si>
  <si>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</si>
  <si>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</si>
  <si>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</si>
  <si>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</si>
  <si>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</si>
  <si>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</si>
  <si>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</si>
  <si>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</si>
  <si>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</si>
  <si>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</si>
  <si>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</si>
  <si>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</si>
  <si>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</si>
  <si>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</si>
  <si>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</si>
  <si>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</si>
  <si>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</si>
  <si>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</si>
  <si>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</si>
  <si>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</si>
  <si>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</si>
  <si>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</si>
  <si>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</si>
  <si>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</si>
  <si>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</si>
  <si>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</si>
  <si>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</si>
  <si>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</si>
  <si>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</si>
  <si>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</si>
  <si>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</si>
  <si>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</si>
  <si>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</si>
  <si>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</si>
  <si>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</si>
  <si>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</si>
  <si>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</si>
  <si>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</si>
  <si>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</si>
  <si>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</si>
  <si>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</si>
  <si>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</si>
  <si>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</si>
  <si>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</si>
  <si>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</si>
  <si>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</si>
  <si>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</si>
  <si>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</si>
  <si>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</si>
  <si>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</si>
  <si>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</si>
  <si>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</si>
  <si>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</si>
  <si>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</si>
  <si>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</si>
  <si>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</si>
  <si>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</si>
  <si>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</si>
  <si>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</si>
  <si>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</si>
  <si>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</si>
  <si>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</si>
  <si>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</si>
  <si>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</si>
  <si>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</si>
  <si>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</si>
  <si>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</si>
  <si>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</si>
  <si>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</si>
  <si>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</si>
  <si>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</si>
  <si>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</si>
  <si>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</si>
  <si>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</si>
  <si>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</si>
  <si>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</si>
  <si>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</si>
  <si>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</si>
  <si>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</si>
  <si>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</si>
  <si>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</si>
  <si>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</si>
  <si>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</si>
  <si>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</si>
  <si>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</si>
  <si>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</si>
  <si>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</si>
  <si>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</si>
  <si>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</si>
  <si>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</si>
  <si>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</si>
  <si>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</si>
  <si>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</si>
  <si>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</si>
  <si>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</si>
  <si>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</si>
  <si>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</si>
  <si>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</si>
  <si>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</si>
  <si>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</si>
  <si>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</si>
  <si>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</si>
  <si>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</si>
  <si>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</si>
  <si>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</si>
  <si>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</si>
  <si>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</si>
  <si>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</si>
  <si>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</si>
  <si>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</si>
  <si>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</si>
  <si>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</si>
  <si>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</si>
  <si>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</si>
  <si>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</si>
  <si>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</si>
  <si>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</si>
  <si>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</si>
  <si>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</si>
  <si>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</si>
  <si>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</si>
  <si>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</si>
  <si>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</si>
  <si>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</si>
  <si>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</si>
  <si>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</si>
  <si>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</si>
  <si>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</si>
  <si>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</si>
  <si>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</si>
  <si>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</si>
  <si>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</si>
  <si>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</si>
  <si>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</si>
  <si>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</si>
  <si>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</si>
  <si>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</si>
  <si>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</si>
  <si>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</si>
  <si>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</si>
  <si>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</si>
  <si>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</si>
  <si>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</si>
  <si>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</si>
  <si>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</si>
  <si>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</si>
  <si>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</si>
  <si>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</si>
  <si>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</si>
  <si>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</si>
  <si>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</si>
  <si>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</si>
  <si>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</si>
  <si>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</si>
  <si>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</si>
  <si>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</si>
  <si>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</si>
  <si>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</si>
  <si>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</si>
  <si>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</si>
  <si>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</si>
  <si>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</si>
  <si>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</si>
  <si>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</si>
  <si>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</si>
  <si>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</si>
  <si>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</si>
  <si>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</si>
  <si>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</si>
  <si>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</si>
  <si>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</si>
  <si>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</si>
  <si>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</si>
  <si>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</si>
  <si>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</si>
  <si>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</si>
  <si>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</si>
  <si>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</si>
  <si>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</si>
  <si>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</si>
  <si>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</si>
  <si>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</si>
  <si>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</si>
  <si>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</si>
  <si>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</si>
  <si>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</si>
  <si>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</si>
  <si>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</si>
  <si>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</si>
  <si>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</si>
  <si>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</si>
  <si>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</si>
  <si>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</si>
  <si>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</si>
  <si>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</si>
  <si>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</si>
  <si>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</si>
  <si>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</si>
  <si>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</si>
  <si>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</si>
  <si>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</si>
  <si>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</si>
  <si>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</si>
  <si>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</si>
  <si>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</si>
  <si>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</si>
  <si>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</si>
  <si>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</si>
  <si>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</si>
  <si>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</si>
  <si>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</si>
  <si>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</si>
  <si>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</si>
  <si>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</si>
  <si>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</si>
  <si>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</si>
  <si>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</si>
  <si>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</si>
  <si>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</si>
  <si>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</si>
  <si>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</si>
  <si>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</si>
  <si>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</si>
  <si>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</si>
  <si>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</si>
  <si>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</si>
  <si>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</si>
  <si>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</si>
  <si>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</si>
  <si>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</si>
  <si>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</si>
  <si>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</si>
  <si>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</si>
  <si>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</si>
  <si>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</si>
  <si>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</si>
  <si>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</si>
  <si>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</si>
  <si>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</si>
  <si>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</si>
  <si>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</si>
  <si>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</si>
  <si>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</si>
  <si>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</si>
  <si>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</si>
  <si>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</si>
  <si>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</si>
  <si>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</si>
  <si>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</si>
  <si>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</si>
  <si>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</si>
  <si>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</si>
  <si>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</si>
  <si>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</si>
  <si>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</si>
  <si>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</si>
  <si>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</si>
  <si>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</si>
  <si>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</si>
  <si>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</si>
  <si>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</si>
  <si>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</si>
  <si>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</si>
  <si>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</si>
  <si>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</si>
  <si>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</si>
  <si>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</si>
  <si>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</si>
  <si>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</si>
  <si>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</si>
  <si>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</si>
  <si>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</si>
  <si>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</si>
  <si>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</si>
  <si>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</si>
  <si>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</si>
  <si>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</si>
  <si>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</si>
  <si>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</si>
  <si>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</si>
  <si>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</si>
  <si>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</si>
  <si>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</si>
  <si>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</si>
  <si>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</si>
  <si>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</si>
  <si>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</si>
  <si>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</si>
  <si>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</si>
  <si>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</si>
  <si>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</si>
  <si>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</si>
  <si>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</si>
  <si>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</si>
  <si>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</si>
  <si>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</si>
  <si>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</si>
  <si>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</si>
  <si>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</si>
  <si>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</si>
  <si>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</si>
  <si>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</si>
  <si>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</si>
  <si>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</si>
  <si>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</si>
  <si>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</si>
  <si>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</si>
  <si>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</si>
  <si>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</si>
  <si>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</si>
  <si>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</si>
  <si>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</si>
  <si>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</si>
  <si>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</si>
  <si>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</si>
  <si>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</si>
  <si>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</si>
  <si>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</si>
  <si>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</si>
  <si>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</si>
  <si>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</si>
  <si>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</si>
  <si>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</si>
  <si>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</si>
  <si>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</si>
  <si>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</si>
  <si>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</si>
  <si>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</si>
  <si>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</si>
  <si>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</si>
  <si>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</si>
  <si>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</si>
  <si>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</si>
  <si>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</si>
  <si>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</si>
  <si>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</si>
  <si>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</si>
  <si>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</si>
  <si>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</si>
  <si>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</si>
  <si>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</si>
  <si>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</si>
  <si>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</si>
  <si>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</si>
  <si>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</si>
  <si>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</si>
  <si>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</si>
  <si>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</si>
  <si>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</si>
  <si>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</si>
  <si>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</si>
  <si>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</si>
  <si>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</si>
  <si>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</si>
  <si>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</si>
  <si>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</si>
  <si>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</si>
  <si>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</si>
  <si>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</si>
  <si>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</si>
  <si>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</si>
  <si>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</si>
  <si>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</si>
  <si>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</si>
  <si>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</si>
  <si>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</si>
  <si>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</si>
  <si>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</si>
  <si>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</si>
  <si>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</si>
  <si>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</si>
  <si>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</si>
  <si>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</si>
  <si>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</si>
  <si>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</si>
  <si>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</si>
  <si>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</si>
  <si>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</si>
  <si>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</si>
  <si>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</si>
  <si>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</si>
  <si>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</si>
  <si>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</si>
  <si>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</si>
  <si>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</si>
  <si>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</si>
  <si>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</si>
  <si>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</si>
  <si>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</si>
  <si>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</si>
  <si>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</si>
  <si>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</si>
  <si>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</si>
  <si>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</si>
  <si>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</si>
  <si>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</si>
  <si>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</si>
  <si>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</si>
  <si>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</si>
  <si>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</si>
  <si>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</si>
  <si>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</si>
  <si>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</si>
  <si>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</si>
  <si>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</si>
  <si>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</si>
  <si>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</si>
  <si>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</si>
  <si>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</si>
  <si>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</si>
  <si>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</si>
  <si>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</si>
  <si>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</si>
  <si>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</si>
  <si>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</si>
  <si>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</si>
  <si>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</si>
  <si>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</si>
  <si>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</si>
  <si>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</si>
  <si>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</si>
  <si>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</si>
  <si>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</si>
  <si>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</si>
  <si>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</si>
  <si>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</si>
  <si>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</si>
  <si>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</si>
  <si>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</si>
  <si>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</si>
  <si>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</si>
  <si>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</si>
  <si>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</si>
  <si>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</si>
  <si>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</si>
  <si>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</si>
  <si>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</si>
  <si>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</si>
  <si>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</si>
  <si>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</si>
  <si>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</si>
  <si>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</si>
  <si>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</si>
  <si>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</si>
  <si>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</si>
  <si>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</si>
  <si>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</si>
  <si>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</si>
  <si>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</si>
  <si>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</si>
  <si>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</si>
  <si>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</si>
  <si>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</si>
  <si>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</si>
  <si>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</si>
  <si>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</si>
  <si>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</si>
  <si>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</si>
  <si>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</si>
  <si>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</si>
  <si>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</si>
  <si>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</si>
  <si>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</si>
  <si>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</si>
  <si>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</si>
  <si>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</si>
  <si>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</si>
  <si>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</si>
  <si>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</si>
  <si>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</si>
  <si>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</si>
  <si>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</si>
  <si>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</si>
  <si>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</si>
  <si>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</si>
  <si>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</si>
  <si>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</si>
  <si>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</si>
  <si>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</si>
  <si>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</si>
  <si>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</si>
  <si>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</si>
  <si>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</si>
  <si>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</si>
  <si>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</si>
  <si>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</si>
  <si>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</si>
  <si>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</si>
  <si>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</si>
  <si>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</si>
  <si>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</si>
  <si>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</si>
  <si>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</si>
  <si>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</si>
  <si>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</si>
  <si>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</si>
  <si>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</si>
  <si>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</si>
  <si>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</si>
  <si>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</si>
  <si>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</si>
  <si>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</si>
  <si>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</si>
  <si>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</si>
  <si>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</si>
  <si>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</si>
  <si>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</si>
  <si>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</si>
  <si>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</si>
  <si>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</si>
  <si>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</si>
  <si>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</si>
  <si>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</si>
  <si>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</si>
  <si>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</si>
  <si>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</si>
  <si>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</si>
  <si>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</si>
  <si>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</si>
  <si>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</si>
  <si>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</si>
  <si>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</si>
  <si>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</si>
  <si>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</si>
  <si>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</si>
  <si>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</si>
  <si>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</si>
  <si>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</si>
  <si>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</si>
  <si>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</si>
  <si>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</si>
  <si>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</si>
  <si>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</si>
  <si>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</si>
  <si>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</si>
  <si>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</si>
  <si>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</si>
  <si>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</si>
  <si>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</si>
  <si>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</si>
  <si>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</si>
  <si>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</si>
  <si>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</si>
  <si>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</si>
  <si>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</si>
  <si>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</si>
  <si>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</si>
  <si>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</si>
  <si>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</si>
  <si>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</si>
  <si>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</si>
  <si>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</si>
  <si>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</si>
  <si>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</si>
  <si>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</si>
  <si>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</si>
  <si>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</si>
  <si>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</si>
  <si>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</si>
  <si>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</si>
  <si>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</si>
  <si>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</si>
  <si>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</si>
  <si>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</si>
  <si>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</si>
  <si>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</si>
  <si>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</si>
  <si>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</si>
  <si>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</si>
  <si>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</si>
  <si>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</si>
  <si>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</si>
  <si>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</si>
  <si>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</si>
  <si>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</si>
  <si>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</si>
  <si>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</si>
  <si>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</si>
  <si>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</si>
  <si>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</si>
  <si>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</si>
  <si>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</si>
  <si>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</si>
  <si>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</si>
  <si>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</si>
  <si>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</si>
  <si>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</si>
  <si>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</si>
  <si>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</si>
  <si>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</si>
  <si>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</si>
  <si>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</si>
  <si>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</si>
  <si>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</si>
  <si>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</si>
  <si>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</si>
  <si>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</si>
  <si>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</si>
  <si>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</si>
  <si>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</si>
  <si>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</si>
  <si>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</si>
  <si>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</si>
  <si>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</si>
  <si>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</si>
  <si>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</si>
  <si>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</si>
  <si>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</si>
  <si>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</si>
  <si>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</si>
  <si>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</si>
  <si>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</si>
  <si>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</si>
  <si>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</si>
  <si>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</si>
  <si>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</si>
  <si>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</si>
  <si>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</si>
  <si>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</si>
  <si>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</si>
  <si>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</si>
  <si>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</si>
  <si>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</si>
  <si>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</si>
  <si>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</si>
  <si>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</si>
  <si>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</si>
  <si>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</si>
  <si>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</si>
  <si>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</si>
  <si>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</si>
  <si>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</si>
  <si>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</si>
  <si>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</si>
  <si>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</si>
  <si>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</si>
  <si>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</si>
  <si>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</si>
  <si>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</si>
  <si>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</si>
  <si>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</si>
  <si>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</si>
  <si>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</si>
  <si>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</si>
  <si>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</si>
  <si>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</si>
  <si>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</si>
  <si>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</si>
  <si>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</si>
  <si>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</si>
  <si>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</si>
  <si>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</si>
  <si>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</si>
  <si>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</si>
  <si>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</si>
  <si>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</si>
  <si>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</si>
  <si>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</si>
  <si>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</si>
  <si>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</si>
  <si>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</si>
  <si>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</si>
  <si>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</si>
  <si>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</si>
  <si>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</si>
  <si>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</si>
  <si>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</si>
  <si>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</si>
  <si>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</si>
  <si>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</si>
  <si>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</si>
  <si>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</si>
  <si>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</si>
  <si>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</si>
  <si>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</si>
  <si>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</si>
  <si>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</si>
  <si>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</si>
  <si>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</si>
  <si>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</si>
  <si>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</si>
  <si>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</si>
  <si>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</si>
  <si>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</si>
  <si>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</si>
  <si>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</si>
  <si>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</si>
  <si>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</si>
  <si>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</si>
  <si>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</si>
  <si>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</si>
  <si>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</si>
  <si>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</si>
  <si>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</si>
  <si>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</si>
  <si>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</si>
  <si>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</si>
  <si>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</si>
  <si>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</si>
  <si>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</si>
  <si>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</si>
  <si>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</si>
  <si>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</si>
  <si>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</si>
  <si>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</si>
  <si>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</si>
  <si>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</si>
  <si>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</si>
  <si>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</si>
  <si>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</si>
  <si>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</si>
  <si>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</si>
  <si>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</si>
  <si>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</si>
  <si>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</si>
  <si>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</si>
  <si>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</si>
  <si>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</si>
  <si>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</si>
  <si>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</si>
  <si>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</si>
  <si>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</si>
  <si>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</si>
  <si>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</si>
  <si>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</si>
  <si>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</si>
  <si>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</si>
  <si>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</si>
  <si>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</si>
  <si>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</si>
  <si>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</si>
  <si>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</si>
  <si>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</si>
  <si>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</si>
  <si>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</si>
  <si>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</si>
  <si>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</si>
  <si>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</si>
  <si>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</si>
  <si>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</si>
  <si>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</si>
  <si>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</si>
  <si>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</si>
  <si>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</si>
  <si>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</si>
  <si>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</si>
  <si>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</si>
  <si>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</si>
  <si>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</si>
  <si>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</si>
  <si>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</si>
  <si>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</si>
  <si>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</si>
  <si>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</si>
  <si>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</si>
  <si>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</si>
  <si>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</si>
  <si>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</si>
  <si>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</si>
  <si>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</si>
  <si>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</si>
  <si>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</si>
  <si>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</si>
  <si>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</si>
  <si>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</si>
  <si>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</si>
  <si>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</si>
  <si>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</si>
  <si>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</si>
  <si>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</si>
  <si>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</si>
  <si>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</si>
  <si>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</si>
  <si>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</si>
  <si>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</si>
  <si>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</si>
  <si>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</si>
  <si>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</si>
  <si>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</si>
  <si>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</si>
  <si>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</si>
  <si>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</si>
  <si>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</si>
  <si>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</si>
  <si>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</si>
  <si>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</si>
  <si>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</si>
  <si>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</si>
  <si>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</si>
  <si>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</si>
  <si>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</si>
  <si>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</si>
  <si>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</si>
  <si>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</si>
  <si>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</si>
  <si>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</si>
  <si>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</si>
  <si>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</si>
  <si>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</si>
  <si>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</si>
  <si>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</si>
  <si>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</si>
  <si>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</si>
  <si>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</si>
  <si>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</si>
  <si>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</si>
  <si>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</si>
  <si>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</si>
  <si>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</si>
  <si>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</si>
  <si>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</si>
  <si>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</si>
  <si>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</si>
  <si>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</si>
  <si>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</si>
  <si>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</si>
  <si>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</si>
  <si>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</si>
  <si>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</si>
  <si>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</si>
  <si>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</si>
  <si>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</si>
  <si>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</si>
  <si>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</si>
  <si>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</si>
  <si>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</si>
  <si>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</si>
  <si>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</si>
  <si>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</si>
  <si>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</si>
  <si>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</si>
  <si>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</si>
  <si>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</si>
  <si>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</si>
  <si>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</si>
  <si>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</si>
  <si>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</si>
  <si>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</si>
  <si>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</si>
  <si>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</si>
  <si>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</si>
  <si>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</si>
  <si>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</si>
  <si>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</si>
  <si>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</si>
  <si>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</si>
  <si>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</si>
  <si>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</si>
  <si>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</si>
  <si>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</si>
  <si>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</si>
  <si>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</si>
  <si>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</si>
  <si>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</si>
  <si>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</si>
  <si>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</si>
  <si>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</si>
  <si>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</si>
  <si>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</si>
  <si>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</si>
  <si>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</si>
  <si>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</si>
  <si>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</si>
  <si>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</si>
  <si>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</si>
  <si>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</si>
  <si>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</si>
  <si>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</si>
  <si>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</si>
  <si>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</si>
  <si>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</si>
  <si>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</si>
  <si>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</si>
  <si>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</si>
  <si>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</si>
  <si>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</si>
  <si>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</si>
  <si>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</si>
  <si>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</si>
  <si>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</si>
  <si>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</si>
  <si>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</si>
  <si>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</si>
  <si>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</si>
  <si>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</si>
  <si>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</si>
  <si>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</si>
  <si>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</si>
  <si>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</si>
  <si>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</si>
  <si>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</si>
  <si>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</si>
  <si>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</si>
  <si>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</si>
  <si>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</si>
  <si>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</si>
  <si>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</si>
  <si>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</si>
  <si>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</si>
  <si>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</si>
  <si>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</si>
  <si>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</si>
  <si>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</si>
  <si>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</si>
  <si>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</si>
  <si>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</si>
  <si>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</si>
  <si>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</si>
  <si>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</si>
  <si>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</si>
  <si>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</si>
  <si>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</si>
  <si>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</si>
  <si>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</si>
  <si>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</si>
  <si>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</si>
  <si>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</si>
  <si>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</si>
  <si>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</si>
  <si>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</si>
  <si>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</si>
  <si>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</si>
  <si>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</si>
  <si>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</si>
  <si>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</si>
  <si>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</si>
  <si>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</si>
  <si>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</si>
  <si>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</si>
  <si>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</si>
  <si>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</si>
  <si>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</si>
  <si>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</si>
  <si>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</si>
  <si>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</si>
  <si>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</si>
  <si>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</si>
  <si>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</si>
  <si>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</si>
  <si>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</si>
  <si>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</si>
  <si>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</si>
  <si>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</si>
  <si>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</si>
  <si>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</si>
  <si>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</si>
  <si>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</si>
  <si>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</si>
  <si>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</si>
  <si>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</si>
  <si>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</si>
  <si>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</si>
  <si>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</si>
  <si>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</si>
  <si>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</si>
  <si>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</si>
  <si>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</si>
  <si>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</si>
  <si>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</si>
  <si>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</si>
  <si>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</si>
  <si>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</si>
  <si>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</si>
  <si>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</si>
  <si>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</si>
  <si>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</si>
  <si>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</si>
  <si>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</si>
  <si>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</si>
  <si>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</si>
  <si>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</si>
  <si>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</si>
  <si>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</si>
  <si>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</si>
  <si>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</si>
  <si>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</si>
  <si>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</si>
  <si>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</si>
  <si>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</si>
  <si>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</si>
  <si>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</si>
  <si>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</si>
  <si>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</si>
  <si>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</si>
  <si>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</si>
  <si>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</si>
  <si>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</si>
  <si>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</si>
  <si>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</si>
  <si>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</si>
  <si>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</si>
  <si>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</si>
  <si>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</si>
  <si>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</si>
  <si>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</si>
  <si>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</si>
  <si>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</si>
  <si>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</si>
  <si>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</si>
  <si>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</si>
  <si>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</si>
  <si>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</si>
  <si>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</si>
  <si>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</si>
  <si>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</si>
  <si>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</si>
  <si>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</si>
  <si>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</si>
  <si>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</si>
  <si>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</si>
  <si>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</si>
  <si>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</si>
  <si>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</si>
  <si>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</si>
  <si>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</si>
  <si>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</si>
  <si>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</si>
  <si>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</si>
  <si>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</si>
  <si>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</si>
  <si>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</si>
  <si>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</si>
  <si>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</si>
  <si>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</si>
  <si>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</si>
  <si>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</si>
  <si>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</si>
  <si>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</si>
  <si>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</si>
  <si>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</si>
  <si>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</si>
  <si>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</si>
  <si>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</si>
  <si>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</si>
  <si>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</si>
  <si>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</si>
  <si>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</si>
  <si>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</si>
  <si>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</si>
  <si>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</si>
  <si>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</si>
  <si>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</si>
  <si>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</si>
  <si>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</si>
  <si>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</si>
  <si>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</si>
  <si>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</si>
  <si>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</si>
  <si>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</si>
  <si>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</si>
  <si>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</si>
  <si>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</si>
  <si>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</si>
  <si>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</si>
  <si>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</si>
  <si>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</si>
  <si>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</si>
  <si>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</si>
  <si>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</si>
  <si>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</si>
  <si>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</si>
  <si>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</si>
  <si>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</si>
  <si>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</si>
  <si>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</si>
  <si>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</si>
  <si>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</si>
  <si>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</si>
  <si>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</si>
  <si>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</si>
  <si>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</si>
  <si>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</si>
  <si>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</si>
  <si>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</si>
  <si>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</si>
  <si>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</si>
  <si>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</si>
  <si>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</si>
  <si>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</si>
  <si>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</si>
  <si>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</si>
  <si>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</si>
  <si>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</si>
  <si>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</si>
  <si>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</si>
  <si>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</si>
  <si>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</si>
  <si>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</si>
  <si>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</si>
  <si>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</si>
  <si>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</si>
  <si>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</si>
  <si>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</si>
  <si>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</si>
  <si>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</si>
  <si>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</si>
  <si>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</si>
  <si>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</si>
  <si>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</si>
  <si>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</si>
  <si>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</si>
  <si>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</si>
  <si>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</si>
  <si>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</si>
  <si>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</si>
  <si>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</si>
  <si>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</si>
  <si>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</si>
  <si>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</si>
  <si>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</si>
  <si>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</si>
  <si>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</si>
  <si>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</si>
  <si>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</si>
  <si>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</si>
  <si>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</si>
  <si>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</si>
  <si>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</si>
  <si>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</si>
  <si>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</si>
  <si>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</si>
  <si>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</si>
  <si>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</si>
  <si>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</si>
  <si>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</si>
  <si>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</si>
  <si>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</si>
  <si>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</si>
  <si>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</si>
  <si>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</si>
  <si>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</si>
  <si>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</si>
  <si>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</si>
  <si>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</si>
  <si>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</si>
  <si>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</si>
  <si>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</si>
  <si>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</si>
  <si>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</si>
  <si>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</si>
  <si>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</si>
  <si>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</si>
  <si>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</si>
  <si>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</si>
  <si>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</si>
  <si>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</si>
  <si>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</si>
  <si>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</si>
  <si>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</si>
  <si>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</si>
  <si>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</si>
  <si>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</si>
  <si>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</si>
  <si>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</si>
  <si>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</si>
  <si>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</si>
  <si>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</si>
  <si>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</si>
  <si>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</si>
  <si>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</si>
  <si>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</si>
  <si>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</si>
  <si>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</si>
  <si>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</si>
  <si>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</si>
  <si>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</si>
  <si>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</si>
  <si>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</si>
  <si>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</si>
  <si>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</si>
  <si>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</si>
  <si>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</si>
  <si>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</si>
  <si>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</si>
  <si>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</si>
  <si>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</si>
  <si>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</si>
  <si>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</si>
  <si>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</si>
  <si>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</si>
  <si>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</si>
  <si>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</si>
  <si>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</si>
  <si>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</si>
  <si>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</si>
  <si>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</si>
  <si>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</si>
  <si>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</si>
  <si>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</si>
  <si>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</si>
  <si>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</si>
  <si>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</si>
  <si>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</si>
  <si>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</si>
  <si>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</si>
  <si>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</si>
  <si>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</si>
  <si>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</si>
  <si>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</si>
  <si>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</si>
  <si>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</si>
  <si>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</si>
  <si>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</si>
  <si>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</si>
  <si>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</si>
  <si>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</si>
  <si>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</si>
  <si>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</si>
  <si>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</si>
  <si>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</si>
  <si>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</si>
  <si>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</si>
  <si>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</si>
  <si>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</si>
  <si>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</si>
  <si>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</si>
  <si>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</si>
  <si>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</si>
  <si>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</si>
  <si>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</si>
  <si>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</si>
  <si>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</si>
  <si>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</si>
  <si>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</si>
  <si>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</si>
  <si>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</si>
  <si>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</si>
  <si>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</si>
  <si>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</si>
  <si>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</si>
  <si>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</si>
  <si>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</si>
  <si>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</si>
  <si>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</si>
  <si>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</si>
  <si>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</si>
  <si>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</si>
  <si>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</si>
  <si>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</si>
  <si>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</si>
  <si>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</si>
  <si>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</si>
  <si>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</si>
  <si>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</si>
  <si>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</si>
  <si>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</si>
  <si>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</si>
  <si>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</si>
  <si>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</si>
  <si>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</si>
  <si>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</si>
  <si>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</si>
  <si>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</si>
  <si>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</si>
  <si>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</si>
  <si>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</si>
  <si>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</si>
  <si>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</si>
  <si>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</si>
  <si>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</si>
  <si>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</si>
  <si>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</si>
  <si>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</si>
  <si>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</si>
  <si>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</si>
  <si>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</si>
  <si>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</si>
  <si>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</si>
  <si>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</si>
  <si>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</si>
  <si>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</si>
  <si>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</si>
  <si>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</si>
  <si>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</si>
  <si>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</si>
  <si>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</si>
  <si>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</si>
  <si>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</si>
  <si>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</si>
  <si>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</si>
  <si>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</si>
  <si>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</si>
  <si>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</si>
  <si>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</si>
  <si>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</si>
  <si>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</si>
  <si>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</si>
  <si>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</si>
  <si>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</si>
  <si>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</si>
  <si>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</si>
  <si>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</si>
  <si>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</si>
  <si>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</si>
  <si>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</si>
  <si>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</si>
  <si>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</si>
  <si>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</si>
  <si>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</si>
  <si>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</si>
  <si>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</si>
  <si>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</si>
  <si>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</si>
  <si>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</si>
  <si>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</si>
  <si>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</si>
  <si>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</si>
  <si>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</si>
  <si>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</si>
  <si>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</si>
  <si>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</si>
  <si>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</si>
  <si>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</si>
  <si>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</si>
  <si>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</si>
  <si>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</si>
  <si>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</si>
  <si>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</si>
  <si>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</si>
  <si>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</si>
  <si>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</si>
  <si>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</si>
  <si>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</si>
  <si>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</si>
  <si>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</si>
  <si>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</si>
  <si>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</si>
  <si>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</si>
  <si>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</si>
  <si>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</si>
  <si>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</si>
  <si>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</si>
  <si>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</si>
  <si>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</si>
  <si>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</si>
  <si>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</si>
  <si>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</si>
  <si>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</si>
  <si>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</si>
  <si>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</si>
  <si>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</si>
  <si>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</si>
  <si>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</si>
  <si>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</si>
  <si>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</si>
  <si>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</si>
  <si>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</si>
  <si>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</si>
  <si>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</si>
  <si>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</si>
  <si>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</si>
  <si>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</si>
  <si>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</si>
  <si>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</si>
  <si>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</si>
  <si>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</si>
  <si>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</si>
  <si>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</si>
  <si>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</si>
  <si>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</si>
  <si>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</si>
  <si>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</si>
  <si>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</si>
  <si>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</si>
  <si>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</si>
  <si>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</si>
  <si>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</si>
  <si>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</si>
  <si>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</si>
  <si>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</si>
  <si>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</si>
  <si>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</si>
  <si>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</si>
  <si>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</si>
  <si>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</si>
  <si>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</si>
  <si>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</si>
  <si>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</si>
  <si>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</si>
  <si>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</si>
  <si>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</si>
  <si>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</si>
  <si>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</si>
  <si>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</si>
  <si>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</si>
  <si>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</si>
  <si>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</si>
  <si>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</si>
  <si>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</si>
  <si>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</si>
  <si>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</si>
  <si>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</si>
  <si>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</si>
  <si>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</si>
  <si>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</si>
  <si>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</si>
  <si>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</si>
  <si>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</si>
  <si>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</si>
  <si>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</si>
  <si>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</si>
  <si>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</si>
  <si>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</si>
  <si>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</si>
  <si>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</si>
  <si>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</si>
  <si>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</si>
  <si>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</si>
  <si>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</si>
  <si>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</si>
  <si>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</si>
  <si>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</si>
  <si>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</si>
  <si>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</si>
  <si>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</si>
  <si>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</si>
  <si>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</si>
  <si>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</si>
  <si>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</si>
  <si>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</si>
  <si>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</si>
  <si>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</si>
  <si>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</si>
  <si>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</si>
  <si>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</si>
  <si>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</si>
  <si>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</si>
  <si>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</si>
  <si>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</si>
  <si>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</si>
  <si>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</si>
  <si>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</si>
  <si>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</si>
  <si>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</si>
  <si>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</si>
  <si>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</si>
  <si>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</si>
  <si>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</si>
  <si>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</si>
  <si>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</si>
  <si>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</si>
  <si>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</si>
  <si>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</si>
  <si>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</si>
  <si>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</si>
  <si>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</si>
  <si>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</si>
  <si>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</si>
  <si>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</si>
  <si>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</si>
  <si>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</si>
  <si>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</si>
  <si>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</si>
  <si>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</si>
  <si>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</si>
  <si>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</si>
  <si>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</si>
  <si>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</si>
  <si>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</si>
  <si>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</si>
  <si>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</si>
  <si>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</si>
  <si>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</si>
  <si>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</si>
  <si>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</si>
  <si>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</si>
  <si>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</si>
  <si>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</si>
  <si>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</si>
  <si>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</si>
  <si>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</si>
  <si>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</si>
  <si>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</si>
  <si>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</si>
  <si>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</si>
  <si>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</si>
  <si>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</si>
  <si>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</si>
  <si>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</si>
  <si>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</si>
  <si>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</si>
  <si>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</si>
  <si>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</si>
  <si>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</si>
  <si>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</si>
  <si>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</si>
  <si>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</si>
  <si>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</si>
  <si>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</si>
  <si>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</si>
  <si>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</si>
  <si>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</si>
  <si>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</si>
  <si>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</si>
  <si>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</si>
  <si>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</si>
  <si>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</si>
  <si>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</si>
  <si>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</si>
  <si>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</si>
  <si>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</si>
  <si>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</si>
  <si>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</si>
  <si>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</si>
  <si>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</si>
  <si>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</si>
  <si>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</si>
  <si>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</si>
  <si>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</si>
  <si>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</si>
  <si>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</si>
  <si>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</si>
  <si>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</si>
  <si>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</si>
  <si>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</si>
  <si>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</si>
  <si>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</si>
  <si>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</si>
  <si>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</si>
  <si>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</si>
  <si>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</si>
  <si>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</si>
  <si>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</si>
  <si>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</si>
  <si>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</si>
  <si>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</si>
  <si>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</si>
  <si>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</si>
  <si>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</si>
  <si>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</si>
  <si>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</si>
  <si>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</si>
  <si>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</si>
  <si>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</si>
  <si>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</si>
  <si>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</si>
  <si>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</si>
  <si>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</si>
  <si>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</si>
  <si>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</si>
  <si>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</si>
  <si>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</si>
  <si>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</si>
  <si>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</si>
  <si>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</si>
  <si>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</si>
  <si>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</si>
  <si>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</si>
  <si>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</si>
  <si>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</si>
  <si>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</si>
  <si>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</si>
  <si>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</si>
  <si>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</si>
  <si>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</si>
  <si>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</si>
  <si>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</si>
  <si>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</si>
  <si>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</si>
  <si>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</si>
  <si>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</si>
  <si>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</si>
  <si>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</si>
  <si>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</si>
  <si>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</si>
  <si>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</si>
  <si>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</si>
  <si>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</si>
  <si>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</si>
  <si>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</si>
  <si>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</si>
  <si>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</si>
  <si>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</si>
  <si>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</si>
  <si>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</si>
  <si>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</si>
  <si>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</si>
  <si>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</si>
  <si>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</si>
  <si>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</si>
  <si>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</si>
  <si>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</si>
  <si>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</si>
  <si>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</si>
  <si>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</si>
  <si>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</si>
  <si>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</si>
  <si>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</si>
  <si>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</si>
  <si>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</si>
  <si>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</si>
  <si>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</si>
  <si>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</si>
  <si>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</si>
  <si>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</si>
  <si>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</si>
  <si>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</si>
  <si>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</si>
  <si>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</si>
  <si>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</si>
  <si>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</si>
  <si>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</si>
  <si>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</si>
  <si>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</si>
  <si>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</si>
  <si>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</si>
  <si>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</si>
  <si>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</si>
  <si>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</si>
  <si>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</si>
  <si>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</si>
  <si>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</si>
  <si>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</si>
  <si>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</si>
  <si>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</si>
  <si>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</si>
  <si>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</si>
  <si>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</si>
  <si>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</si>
  <si>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</si>
  <si>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</si>
  <si>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</si>
  <si>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</si>
  <si>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</si>
  <si>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</si>
  <si>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</si>
  <si>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</si>
  <si>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</si>
  <si>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</si>
  <si>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</si>
  <si>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</si>
  <si>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</si>
  <si>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</si>
  <si>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</si>
  <si>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</si>
  <si>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</si>
  <si>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</si>
  <si>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</si>
  <si>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</si>
  <si>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</si>
  <si>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</si>
  <si>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</si>
  <si>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</si>
  <si>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</si>
  <si>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</si>
  <si>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</si>
  <si>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</si>
  <si>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</si>
  <si>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</si>
  <si>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</si>
  <si>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</si>
  <si>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</si>
  <si>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</si>
  <si>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</si>
  <si>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</si>
  <si>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</si>
  <si>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</si>
  <si>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</si>
  <si>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</si>
  <si>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</si>
  <si>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</si>
  <si>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</si>
  <si>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</si>
  <si>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</si>
  <si>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</si>
  <si>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</si>
  <si>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</si>
  <si>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</si>
  <si>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</si>
  <si>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</si>
  <si>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</si>
  <si>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</si>
  <si>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</si>
  <si>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</si>
  <si>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</si>
  <si>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</si>
  <si>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</si>
  <si>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</si>
  <si>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</si>
  <si>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</si>
  <si>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</si>
  <si>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</si>
  <si>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</si>
  <si>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</si>
  <si>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</si>
  <si>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</si>
  <si>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</si>
  <si>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</si>
  <si>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</si>
  <si>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</si>
  <si>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</si>
  <si>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</si>
  <si>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</si>
  <si>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</si>
  <si>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</si>
  <si>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</si>
  <si>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</si>
  <si>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</si>
  <si>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</si>
  <si>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</si>
  <si>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</si>
  <si>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</si>
  <si>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</si>
  <si>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</si>
  <si>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</si>
  <si>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</si>
  <si>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</si>
  <si>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</si>
  <si>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</si>
  <si>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</si>
  <si>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</si>
  <si>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</si>
  <si>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</si>
  <si>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</si>
  <si>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</si>
  <si>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</si>
  <si>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</si>
  <si>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</si>
  <si>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</si>
  <si>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</si>
  <si>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</si>
  <si>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</si>
  <si>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</si>
  <si>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</si>
  <si>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</si>
  <si>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</si>
  <si>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</si>
  <si>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</si>
  <si>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</si>
  <si>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</si>
  <si>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</si>
  <si>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</si>
  <si>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</si>
  <si>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</si>
  <si>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</si>
  <si>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</si>
  <si>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</si>
  <si>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</si>
  <si>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</si>
  <si>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</si>
  <si>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</si>
  <si>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</si>
  <si>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</si>
  <si>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</si>
  <si>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</si>
  <si>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</si>
  <si>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</si>
  <si>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</si>
  <si>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</si>
  <si>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</si>
  <si>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</si>
  <si>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</si>
  <si>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</si>
  <si>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</si>
  <si>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</si>
  <si>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</si>
  <si>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</si>
  <si>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</si>
  <si>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</si>
  <si>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</si>
  <si>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</si>
  <si>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</si>
  <si>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</si>
  <si>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</si>
  <si>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</si>
  <si>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</si>
  <si>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</si>
  <si>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</si>
  <si>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</si>
  <si>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</si>
  <si>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</si>
  <si>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</si>
  <si>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</si>
  <si>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</si>
  <si>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</si>
  <si>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</si>
  <si>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</si>
  <si>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</si>
  <si>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</si>
  <si>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</si>
  <si>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</si>
  <si>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</si>
  <si>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</si>
  <si>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</si>
  <si>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</si>
  <si>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</si>
  <si>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</si>
  <si>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</si>
  <si>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</si>
  <si>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</si>
  <si>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</si>
  <si>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</si>
  <si>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</si>
  <si>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</si>
  <si>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</si>
  <si>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</si>
  <si>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</si>
  <si>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</si>
  <si>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</si>
  <si>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</si>
  <si>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</si>
  <si>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</si>
  <si>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</si>
  <si>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</si>
  <si>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</si>
  <si>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</si>
  <si>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</si>
  <si>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</si>
  <si>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</si>
  <si>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</si>
  <si>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</si>
  <si>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</si>
  <si>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</si>
  <si>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</si>
  <si>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</si>
  <si>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</si>
  <si>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</si>
  <si>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</si>
  <si>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</si>
  <si>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</si>
  <si>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</si>
  <si>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</si>
  <si>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</si>
  <si>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</si>
  <si>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</si>
  <si>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</si>
  <si>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</si>
  <si>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</si>
  <si>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</si>
  <si>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</si>
  <si>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</si>
  <si>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</si>
  <si>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</si>
  <si>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</si>
  <si>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</si>
  <si>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</si>
  <si>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</si>
  <si>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</si>
  <si>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</si>
  <si>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</si>
  <si>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</si>
  <si>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</si>
  <si>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</si>
  <si>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</si>
  <si>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</si>
  <si>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</si>
  <si>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</si>
  <si>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</si>
  <si>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</si>
  <si>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</si>
  <si>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</si>
  <si>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</si>
  <si>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</si>
  <si>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</si>
  <si>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</si>
  <si>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</si>
  <si>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</si>
  <si>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</si>
  <si>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</si>
  <si>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</si>
  <si>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</si>
  <si>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</si>
  <si>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</si>
  <si>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</si>
  <si>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</si>
  <si>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</si>
  <si>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</si>
  <si>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</si>
  <si>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</si>
  <si>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</si>
  <si>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</si>
  <si>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</si>
  <si>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</si>
  <si>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</si>
  <si>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</si>
  <si>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</si>
  <si>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</si>
  <si>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</si>
  <si>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</si>
  <si>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</si>
  <si>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</si>
  <si>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</si>
  <si>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</si>
  <si>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</si>
  <si>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</si>
  <si>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</si>
  <si>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</si>
  <si>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</si>
  <si>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</si>
  <si>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</si>
  <si>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</si>
  <si>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</si>
  <si>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</si>
  <si>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</si>
  <si>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</si>
  <si>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</si>
  <si>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</si>
  <si>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</si>
  <si>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</si>
  <si>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</si>
  <si>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</si>
  <si>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</si>
  <si>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</si>
  <si>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</si>
  <si>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</si>
  <si>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</si>
  <si>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Configured SDMMC1 for microSD card slot on developer kit module.  Other miscellaneous changes to align all configurations in this “devkit” pinmux to be the same as regular Jetson Nano module pinmux spreadsheet.
Change SDMMC4 configuration from "Un-used" to "SDMMC4" to align with standalone Nano module configuration.</t>
  </si>
  <si>
    <t>Module ethernet isolate signal for WOL</t>
  </si>
  <si>
    <t>4.7K</t>
  </si>
  <si>
    <t>B01
SODIMM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</si>
</sst>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8" xfId="0" applyFont="1" applyFill="1" applyBorder="1" applyAlignment="1">
      <alignment horizontal="center" vertical="center" shrinkToFit="1"/>
    </xf>
    <xf numFmtId="0" fontId="1" fillId="6" borderId="9" xfId="0" applyFont="1" applyFill="1" applyBorder="1" applyAlignment="1" applyProtection="1">
      <alignment horizontal="center" vertical="center" shrinkToFi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tabSelected="1" workbookViewId="0">
      <selection activeCell="D14" sqref="D14:G14"/>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30" customHeight="1" x14ac:dyDescent="0.25">
      <c r="B13" s="362">
        <v>43787</v>
      </c>
      <c r="C13" s="364">
        <v>1.01</v>
      </c>
      <c r="D13" s="368" t="s">
        <v>2877</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zoomScaleNormal="100" workbookViewId="0">
      <pane xSplit="4" topLeftCell="E1" activePane="topRight" state="frozen"/>
      <selection pane="topRight" activeCell="B1" sqref="B1:B1048576"/>
    </sheetView>
  </sheetViews>
  <sheetFormatPr defaultColWidth="9.140625" defaultRowHeight="11.25" x14ac:dyDescent="0.2"/>
  <cols>
    <col min="1" max="1" width="17.28515625" style="29" customWidth="1"/>
    <col min="2" max="2" width="7.5703125" style="220" hidden="1" customWidth="1"/>
    <col min="3" max="3" width="8.5703125" style="220"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99"/>
      <c r="F1" s="399"/>
      <c r="G1" s="399"/>
      <c r="H1" s="399"/>
      <c r="I1" s="399"/>
      <c r="J1" s="399"/>
      <c r="K1" s="399"/>
      <c r="L1" s="399"/>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99"/>
      <c r="F2" s="399"/>
      <c r="G2" s="399"/>
      <c r="H2" s="399"/>
      <c r="I2" s="399"/>
      <c r="J2" s="399"/>
      <c r="K2" s="399"/>
      <c r="L2" s="399"/>
      <c r="M2" s="399"/>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f>MAX('Customer Readme'!C12:C20)</f>
        <v>1.01</v>
      </c>
      <c r="D3" s="32"/>
      <c r="E3" s="399"/>
      <c r="F3" s="399"/>
      <c r="G3" s="399"/>
      <c r="H3" s="399"/>
      <c r="I3" s="399"/>
      <c r="J3" s="399"/>
      <c r="K3" s="399"/>
      <c r="L3" s="399"/>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99"/>
      <c r="F4" s="399"/>
      <c r="G4" s="399"/>
      <c r="H4" s="399"/>
      <c r="I4" s="399"/>
      <c r="J4" s="399"/>
      <c r="K4" s="399"/>
      <c r="L4" s="399"/>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1122</v>
      </c>
      <c r="BD4" s="192" t="s">
        <v>111</v>
      </c>
    </row>
    <row r="5" spans="1:56" s="33" customFormat="1" ht="15" customHeight="1" x14ac:dyDescent="0.2">
      <c r="A5" s="332"/>
      <c r="B5" s="340"/>
      <c r="C5" s="340"/>
      <c r="D5" s="32"/>
      <c r="E5" s="399"/>
      <c r="F5" s="399"/>
      <c r="G5" s="399"/>
      <c r="H5" s="399"/>
      <c r="I5" s="399"/>
      <c r="J5" s="399"/>
      <c r="K5" s="399"/>
      <c r="L5" s="399"/>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400" t="s">
        <v>112</v>
      </c>
      <c r="F6" s="400"/>
      <c r="G6" s="37"/>
      <c r="H6" s="401" t="s">
        <v>113</v>
      </c>
      <c r="I6" s="402"/>
      <c r="J6" s="402"/>
      <c r="K6" s="402"/>
      <c r="L6" s="403"/>
      <c r="M6" s="404" t="s">
        <v>114</v>
      </c>
      <c r="N6" s="400"/>
      <c r="O6" s="400"/>
      <c r="P6" s="400"/>
      <c r="Q6" s="405"/>
      <c r="R6" s="400" t="s">
        <v>115</v>
      </c>
      <c r="S6" s="400"/>
      <c r="T6" s="400"/>
      <c r="U6" s="400"/>
      <c r="V6" s="406"/>
      <c r="W6" s="281"/>
      <c r="X6" s="404" t="s">
        <v>0</v>
      </c>
      <c r="Y6" s="400"/>
      <c r="Z6" s="405"/>
      <c r="AA6" s="38" t="s">
        <v>76</v>
      </c>
      <c r="AB6" s="407" t="s">
        <v>1195</v>
      </c>
      <c r="AC6" s="408"/>
      <c r="AD6" s="409"/>
      <c r="AE6" s="410" t="s">
        <v>116</v>
      </c>
      <c r="AF6" s="411"/>
      <c r="AG6" s="411"/>
      <c r="AH6" s="411"/>
      <c r="AI6" s="411"/>
      <c r="AJ6" s="412"/>
      <c r="AK6" s="410" t="s">
        <v>117</v>
      </c>
      <c r="AL6" s="411"/>
      <c r="AM6" s="411"/>
      <c r="AN6" s="411"/>
      <c r="AO6" s="411"/>
      <c r="AP6" s="411"/>
      <c r="AQ6" s="413"/>
      <c r="AR6" s="412"/>
      <c r="AS6" s="397" t="s">
        <v>118</v>
      </c>
      <c r="AT6" s="398"/>
      <c r="AU6" s="398"/>
      <c r="AV6" s="398"/>
      <c r="AW6" s="398"/>
      <c r="AX6" s="398"/>
      <c r="AY6" s="398"/>
      <c r="AZ6" s="398"/>
      <c r="BA6" s="398"/>
      <c r="BB6" s="176"/>
      <c r="BC6" s="39"/>
      <c r="BD6" s="391" t="s">
        <v>1207</v>
      </c>
    </row>
    <row r="7" spans="1:56" s="31" customFormat="1" ht="63.75" x14ac:dyDescent="0.2">
      <c r="A7" s="273" t="s">
        <v>2520</v>
      </c>
      <c r="B7" s="46" t="s">
        <v>2880</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2"/>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3"/>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GPIO_PB4</v>
      </c>
      <c r="AF20" s="85"/>
      <c r="AG20" s="80" t="str">
        <f t="shared" si="1"/>
        <v>PULL_DOWN</v>
      </c>
      <c r="AH20" s="80" t="str">
        <f t="shared" si="4"/>
        <v>NORMAL</v>
      </c>
      <c r="AI20" s="80" t="str">
        <f t="shared" si="2"/>
        <v>ENABLE</v>
      </c>
      <c r="AJ20" s="86" t="str">
        <f t="shared" si="3"/>
        <v/>
      </c>
      <c r="AK20" s="243" t="b">
        <v>1</v>
      </c>
      <c r="AL20" s="243" t="b">
        <v>1</v>
      </c>
      <c r="AM20" s="243" t="b">
        <v>1</v>
      </c>
      <c r="AN20" s="243" t="b">
        <v>1</v>
      </c>
      <c r="AO20" s="243" t="b">
        <v>1</v>
      </c>
      <c r="AP20" s="243" t="b">
        <v>1</v>
      </c>
      <c r="AQ20" s="243" t="b">
        <v>1</v>
      </c>
      <c r="AR20" s="83" t="str">
        <f t="shared" si="5"/>
        <v>VALID</v>
      </c>
      <c r="AS20" s="209" t="s">
        <v>1344</v>
      </c>
      <c r="AT20" s="6" t="s">
        <v>102</v>
      </c>
      <c r="AU20" s="3" t="s">
        <v>106</v>
      </c>
      <c r="AV20" s="3" t="s">
        <v>145</v>
      </c>
      <c r="AW20" s="87"/>
      <c r="AX20" s="87"/>
      <c r="AY20" s="3"/>
      <c r="AZ20" s="3"/>
      <c r="BA20" s="12"/>
      <c r="BB20" s="183"/>
      <c r="BC20" s="16" t="s">
        <v>2792</v>
      </c>
      <c r="BD20" s="375"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GPIO_PB5</v>
      </c>
      <c r="AF21" s="85"/>
      <c r="AG21" s="80" t="str">
        <f t="shared" si="1"/>
        <v>PULL_DOWN</v>
      </c>
      <c r="AH21" s="80" t="str">
        <f t="shared" si="4"/>
        <v>NORMAL</v>
      </c>
      <c r="AI21" s="80" t="str">
        <f t="shared" si="2"/>
        <v>ENABLE</v>
      </c>
      <c r="AJ21" s="86" t="str">
        <f t="shared" si="3"/>
        <v/>
      </c>
      <c r="AK21" s="243" t="b">
        <v>1</v>
      </c>
      <c r="AL21" s="243" t="b">
        <v>1</v>
      </c>
      <c r="AM21" s="243" t="b">
        <v>1</v>
      </c>
      <c r="AN21" s="243" t="b">
        <v>1</v>
      </c>
      <c r="AO21" s="243" t="b">
        <v>1</v>
      </c>
      <c r="AP21" s="243" t="b">
        <v>1</v>
      </c>
      <c r="AQ21" s="243" t="b">
        <v>1</v>
      </c>
      <c r="AR21" s="83" t="str">
        <f t="shared" si="5"/>
        <v>VALID</v>
      </c>
      <c r="AS21" s="209" t="s">
        <v>1345</v>
      </c>
      <c r="AT21" s="6" t="s">
        <v>102</v>
      </c>
      <c r="AU21" s="3" t="s">
        <v>106</v>
      </c>
      <c r="AV21" s="87"/>
      <c r="AW21" s="87"/>
      <c r="AX21" s="87"/>
      <c r="AY21" s="3"/>
      <c r="AZ21" s="3"/>
      <c r="BA21" s="12"/>
      <c r="BB21" s="183"/>
      <c r="BC21" s="16" t="s">
        <v>2794</v>
      </c>
      <c r="BD21" s="376"/>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GPIO_PB6</v>
      </c>
      <c r="AF22" s="85"/>
      <c r="AG22" s="80" t="str">
        <f t="shared" si="1"/>
        <v>PULL_DOWN</v>
      </c>
      <c r="AH22" s="80" t="str">
        <f t="shared" si="4"/>
        <v>NORMAL</v>
      </c>
      <c r="AI22" s="80" t="str">
        <f t="shared" si="2"/>
        <v>ENABLE</v>
      </c>
      <c r="AJ22" s="86" t="str">
        <f t="shared" si="3"/>
        <v/>
      </c>
      <c r="AK22" s="243" t="b">
        <v>1</v>
      </c>
      <c r="AL22" s="243" t="b">
        <v>1</v>
      </c>
      <c r="AM22" s="243" t="b">
        <v>1</v>
      </c>
      <c r="AN22" s="243" t="b">
        <v>1</v>
      </c>
      <c r="AO22" s="243" t="b">
        <v>1</v>
      </c>
      <c r="AP22" s="243" t="b">
        <v>1</v>
      </c>
      <c r="AQ22" s="243" t="b">
        <v>1</v>
      </c>
      <c r="AR22" s="83" t="str">
        <f t="shared" si="5"/>
        <v>VALID</v>
      </c>
      <c r="AS22" s="209" t="s">
        <v>1346</v>
      </c>
      <c r="AT22" s="6" t="s">
        <v>102</v>
      </c>
      <c r="AU22" s="3" t="s">
        <v>106</v>
      </c>
      <c r="AV22" s="87"/>
      <c r="AW22" s="87"/>
      <c r="AX22" s="87"/>
      <c r="AY22" s="3"/>
      <c r="AZ22" s="3"/>
      <c r="BA22" s="12"/>
      <c r="BB22" s="183"/>
      <c r="BC22" s="16" t="s">
        <v>2793</v>
      </c>
      <c r="BD22" s="376"/>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GPIO_PB7</v>
      </c>
      <c r="AF23" s="85"/>
      <c r="AG23" s="80" t="str">
        <f t="shared" si="1"/>
        <v>PULL_DOWN</v>
      </c>
      <c r="AH23" s="80" t="str">
        <f t="shared" si="4"/>
        <v>NORMAL</v>
      </c>
      <c r="AI23" s="80" t="str">
        <f t="shared" si="2"/>
        <v>ENABLE</v>
      </c>
      <c r="AJ23" s="86" t="str">
        <f t="shared" si="3"/>
        <v/>
      </c>
      <c r="AK23" s="243" t="b">
        <v>1</v>
      </c>
      <c r="AL23" s="243" t="b">
        <v>1</v>
      </c>
      <c r="AM23" s="243" t="b">
        <v>1</v>
      </c>
      <c r="AN23" s="243" t="b">
        <v>1</v>
      </c>
      <c r="AO23" s="243" t="b">
        <v>1</v>
      </c>
      <c r="AP23" s="243" t="b">
        <v>1</v>
      </c>
      <c r="AQ23" s="243" t="b">
        <v>1</v>
      </c>
      <c r="AR23" s="83" t="str">
        <f t="shared" si="5"/>
        <v>VALID</v>
      </c>
      <c r="AS23" s="209" t="s">
        <v>1347</v>
      </c>
      <c r="AT23" s="6" t="s">
        <v>102</v>
      </c>
      <c r="AU23" s="3" t="s">
        <v>106</v>
      </c>
      <c r="AV23" s="87"/>
      <c r="AW23" s="87"/>
      <c r="AX23" s="87"/>
      <c r="AY23" s="3"/>
      <c r="AZ23" s="3"/>
      <c r="BA23" s="12"/>
      <c r="BB23" s="183"/>
      <c r="BC23" s="16" t="s">
        <v>2795</v>
      </c>
      <c r="BD23" s="376"/>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GPIO_PDD0</v>
      </c>
      <c r="AF24" s="85"/>
      <c r="AG24" s="80" t="str">
        <f t="shared" si="1"/>
        <v>PULL_DOWN</v>
      </c>
      <c r="AH24" s="80" t="str">
        <f t="shared" si="4"/>
        <v>NORMAL</v>
      </c>
      <c r="AI24" s="80" t="str">
        <f t="shared" si="2"/>
        <v>ENABLE</v>
      </c>
      <c r="AJ24" s="86" t="str">
        <f t="shared" si="3"/>
        <v/>
      </c>
      <c r="AK24" s="243" t="b">
        <v>1</v>
      </c>
      <c r="AL24" s="243" t="b">
        <v>1</v>
      </c>
      <c r="AM24" s="243" t="b">
        <v>1</v>
      </c>
      <c r="AN24" s="243" t="b">
        <v>1</v>
      </c>
      <c r="AO24" s="243" t="b">
        <v>1</v>
      </c>
      <c r="AP24" s="243" t="b">
        <v>1</v>
      </c>
      <c r="AQ24" s="243" t="b">
        <v>1</v>
      </c>
      <c r="AR24" s="83" t="str">
        <f t="shared" si="5"/>
        <v>VALID</v>
      </c>
      <c r="AS24" s="209" t="s">
        <v>1348</v>
      </c>
      <c r="AT24" s="6" t="s">
        <v>102</v>
      </c>
      <c r="AU24" s="3" t="s">
        <v>106</v>
      </c>
      <c r="AV24" s="87"/>
      <c r="AW24" s="87"/>
      <c r="AX24" s="87"/>
      <c r="AY24" s="3"/>
      <c r="AZ24" s="3"/>
      <c r="BA24" s="12"/>
      <c r="BB24" s="183"/>
      <c r="BC24" s="16" t="s">
        <v>2796</v>
      </c>
      <c r="BD24" s="377"/>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hidden="1"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75" t="s">
        <v>2720</v>
      </c>
    </row>
    <row r="27" spans="1:56" ht="12" hidden="1"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76"/>
    </row>
    <row r="28" spans="1:56" ht="12" hidden="1"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76"/>
    </row>
    <row r="29" spans="1:56" ht="12" hidden="1"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77"/>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GPIO_PE6</v>
      </c>
      <c r="AF32" s="85"/>
      <c r="AG32" s="80" t="str">
        <f t="shared" si="1"/>
        <v>PULL_DOWN</v>
      </c>
      <c r="AH32" s="80" t="str">
        <f t="shared" si="6"/>
        <v>NORMAL</v>
      </c>
      <c r="AI32" s="80" t="str">
        <f t="shared" si="2"/>
        <v>ENABLE</v>
      </c>
      <c r="AJ32" s="86" t="str">
        <f t="shared" si="3"/>
        <v/>
      </c>
      <c r="AK32" s="243" t="b">
        <v>1</v>
      </c>
      <c r="AL32" s="243" t="b">
        <v>1</v>
      </c>
      <c r="AM32" s="243" t="b">
        <v>1</v>
      </c>
      <c r="AN32" s="243" t="b">
        <v>1</v>
      </c>
      <c r="AO32" s="243" t="b">
        <v>1</v>
      </c>
      <c r="AP32" s="243" t="b">
        <v>1</v>
      </c>
      <c r="AQ32" s="243" t="b">
        <v>1</v>
      </c>
      <c r="AR32" s="83" t="str">
        <f t="shared" si="7"/>
        <v>VALID</v>
      </c>
      <c r="AS32" s="224" t="s">
        <v>1336</v>
      </c>
      <c r="AT32" s="6" t="s">
        <v>102</v>
      </c>
      <c r="AU32" s="3" t="s">
        <v>106</v>
      </c>
      <c r="AV32" s="3" t="s">
        <v>145</v>
      </c>
      <c r="AW32" s="87"/>
      <c r="AX32" s="87"/>
      <c r="AY32" s="3"/>
      <c r="AZ32" s="3"/>
      <c r="BA32" s="22" t="s">
        <v>142</v>
      </c>
      <c r="BB32" s="186"/>
      <c r="BC32" s="16" t="s">
        <v>2831</v>
      </c>
      <c r="BD32" s="95" t="s">
        <v>2713</v>
      </c>
    </row>
    <row r="33" spans="1:56" ht="12.95" hidden="1"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hidden="1"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85" t="s">
        <v>1353</v>
      </c>
    </row>
    <row r="35" spans="1:56" ht="13.5" hidden="1"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85"/>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hidden="1"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hidden="1"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hidden="1"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hidden="1"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PULL_UP</v>
      </c>
      <c r="AH42" s="80" t="str">
        <f t="shared" si="8"/>
        <v>NORMAL</v>
      </c>
      <c r="AI42" s="80" t="str">
        <f t="shared" si="2"/>
        <v>ENABLE</v>
      </c>
      <c r="AJ42" s="86" t="str">
        <f t="shared" si="3"/>
        <v/>
      </c>
      <c r="AK42" s="243" t="b">
        <v>1</v>
      </c>
      <c r="AL42" s="243" t="b">
        <v>1</v>
      </c>
      <c r="AM42" s="243" t="b">
        <v>1</v>
      </c>
      <c r="AN42" s="243" t="b">
        <v>1</v>
      </c>
      <c r="AO42" s="243" t="b">
        <v>1</v>
      </c>
      <c r="AP42" s="243" t="b">
        <v>1</v>
      </c>
      <c r="AQ42" s="243" t="b">
        <v>1</v>
      </c>
      <c r="AR42" s="83" t="str">
        <f t="shared" si="9"/>
        <v>VALID</v>
      </c>
      <c r="AS42" s="210" t="s">
        <v>1329</v>
      </c>
      <c r="AT42" s="6" t="s">
        <v>102</v>
      </c>
      <c r="AU42" s="3" t="s">
        <v>105</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hidden="1"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hidden="1"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hidden="1"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hidden="1"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hidden="1"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2879</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hidden="1"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hidden="1"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hidden="1"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85" t="s">
        <v>1186</v>
      </c>
    </row>
    <row r="56" spans="1:56" ht="12.95" hidden="1"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85"/>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85"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85"/>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85"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85"/>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85"/>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85"/>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85"/>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85"/>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85"/>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75"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76"/>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76"/>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76"/>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76"/>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76"/>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77"/>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hidden="1"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hidden="1"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388" t="s">
        <v>2839</v>
      </c>
    </row>
    <row r="84" spans="1:56" ht="12.95" hidden="1"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389"/>
    </row>
    <row r="85" spans="1:56" ht="12.95" hidden="1"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389"/>
    </row>
    <row r="86" spans="1:56" ht="12.95" hidden="1"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389"/>
    </row>
    <row r="87" spans="1:56" ht="12.95" hidden="1"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389"/>
    </row>
    <row r="88" spans="1:56" ht="12.95" hidden="1"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389"/>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390"/>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4"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395"/>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395"/>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395"/>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395"/>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395"/>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395"/>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395"/>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395"/>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395"/>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395"/>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395"/>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395"/>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396"/>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hidden="1"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hidden="1"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hidden="1"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hidden="1"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GPIO_PV0</v>
      </c>
      <c r="AF121" s="85"/>
      <c r="AG121" s="80" t="str">
        <f t="shared" si="34"/>
        <v>PULL_DOWN</v>
      </c>
      <c r="AH121" s="80" t="str">
        <f t="shared" si="35"/>
        <v>NORMAL</v>
      </c>
      <c r="AI121" s="80" t="str">
        <f t="shared" si="36"/>
        <v>ENABLE</v>
      </c>
      <c r="AJ121" s="86" t="str">
        <f t="shared" si="37"/>
        <v/>
      </c>
      <c r="AK121" s="243" t="b">
        <v>1</v>
      </c>
      <c r="AL121" s="243" t="b">
        <v>1</v>
      </c>
      <c r="AM121" s="243" t="b">
        <v>1</v>
      </c>
      <c r="AN121" s="243" t="b">
        <v>1</v>
      </c>
      <c r="AO121" s="243" t="b">
        <v>1</v>
      </c>
      <c r="AP121" s="243" t="b">
        <v>1</v>
      </c>
      <c r="AQ121" s="243" t="b">
        <v>1</v>
      </c>
      <c r="AR121" s="83" t="str">
        <f t="shared" si="38"/>
        <v>VALID</v>
      </c>
      <c r="AS121" s="209" t="s">
        <v>1337</v>
      </c>
      <c r="AT121" s="6" t="s">
        <v>102</v>
      </c>
      <c r="AU121" s="3" t="s">
        <v>106</v>
      </c>
      <c r="AV121" s="87"/>
      <c r="AW121" s="87"/>
      <c r="AX121" s="87"/>
      <c r="AY121" s="3"/>
      <c r="AZ121" s="3"/>
      <c r="BA121" s="12"/>
      <c r="BB121" s="183"/>
      <c r="BC121" s="16" t="s">
        <v>2819</v>
      </c>
      <c r="BD121" s="293" t="s">
        <v>2713</v>
      </c>
    </row>
    <row r="122" spans="1:56" ht="12.95" hidden="1"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75"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77"/>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hidden="1"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75"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76"/>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76"/>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77"/>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75"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77"/>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75"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77"/>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75"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76"/>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76"/>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77"/>
    </row>
    <row r="154" spans="1:56" s="69" customFormat="1" ht="18" hidden="1"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hidden="1"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75" t="s">
        <v>66</v>
      </c>
    </row>
    <row r="156" spans="1:56" ht="12.95" hidden="1"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76"/>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75"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76"/>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76"/>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76"/>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76"/>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77"/>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GPIO_PC0</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ENABLE</v>
      </c>
      <c r="AJ178" s="86" t="str">
        <f t="shared" si="48"/>
        <v/>
      </c>
      <c r="AK178" s="243" t="b">
        <v>1</v>
      </c>
      <c r="AL178" s="243" t="b">
        <v>1</v>
      </c>
      <c r="AM178" s="243" t="b">
        <v>1</v>
      </c>
      <c r="AN178" s="243" t="b">
        <v>1</v>
      </c>
      <c r="AO178" s="243" t="b">
        <v>1</v>
      </c>
      <c r="AP178" s="243" t="b">
        <v>1</v>
      </c>
      <c r="AQ178" s="243" t="b">
        <v>1</v>
      </c>
      <c r="AR178" s="83" t="str">
        <f t="shared" ref="AR178:AR206" si="53">IF(AND($AK178:$AQ178), "VALID", "INVALID")</f>
        <v>VALID</v>
      </c>
      <c r="AS178" s="208" t="s">
        <v>1331</v>
      </c>
      <c r="AT178" s="2" t="s">
        <v>102</v>
      </c>
      <c r="AU178" s="3" t="s">
        <v>106</v>
      </c>
      <c r="AV178" s="87"/>
      <c r="AW178" s="87"/>
      <c r="AX178" s="87"/>
      <c r="AY178" s="5"/>
      <c r="AZ178" s="5"/>
      <c r="BA178" s="12"/>
      <c r="BB178" s="183"/>
      <c r="BC178" s="16" t="s">
        <v>2708</v>
      </c>
      <c r="BD178" s="375"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GPIO_PC1</v>
      </c>
      <c r="AF179" s="85"/>
      <c r="AG179" s="80" t="str">
        <f t="shared" si="50"/>
        <v>PULL_DOWN</v>
      </c>
      <c r="AH179" s="80" t="str">
        <f t="shared" si="51"/>
        <v>NORMAL</v>
      </c>
      <c r="AI179" s="80" t="str">
        <f t="shared" si="52"/>
        <v>ENABLE</v>
      </c>
      <c r="AJ179" s="86" t="str">
        <f t="shared" si="48"/>
        <v/>
      </c>
      <c r="AK179" s="243" t="b">
        <v>1</v>
      </c>
      <c r="AL179" s="243" t="b">
        <v>1</v>
      </c>
      <c r="AM179" s="243" t="b">
        <v>1</v>
      </c>
      <c r="AN179" s="243" t="b">
        <v>1</v>
      </c>
      <c r="AO179" s="243" t="b">
        <v>1</v>
      </c>
      <c r="AP179" s="243" t="b">
        <v>1</v>
      </c>
      <c r="AQ179" s="243" t="b">
        <v>1</v>
      </c>
      <c r="AR179" s="83" t="str">
        <f t="shared" si="53"/>
        <v>VALID</v>
      </c>
      <c r="AS179" s="209" t="s">
        <v>1332</v>
      </c>
      <c r="AT179" s="6" t="s">
        <v>102</v>
      </c>
      <c r="AU179" s="3" t="s">
        <v>106</v>
      </c>
      <c r="AV179" s="87"/>
      <c r="AW179" s="87"/>
      <c r="AX179" s="87"/>
      <c r="AY179" s="3"/>
      <c r="AZ179" s="3"/>
      <c r="BA179" s="12"/>
      <c r="BB179" s="183"/>
      <c r="BC179" s="16" t="s">
        <v>2710</v>
      </c>
      <c r="BD179" s="376"/>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GPIO_PC2</v>
      </c>
      <c r="AF180" s="85"/>
      <c r="AG180" s="80" t="str">
        <f t="shared" si="50"/>
        <v>PULL_DOWN</v>
      </c>
      <c r="AH180" s="80" t="str">
        <f t="shared" si="51"/>
        <v>NORMAL</v>
      </c>
      <c r="AI180" s="80" t="str">
        <f t="shared" si="52"/>
        <v>ENABLE</v>
      </c>
      <c r="AJ180" s="86" t="str">
        <f t="shared" si="48"/>
        <v/>
      </c>
      <c r="AK180" s="243" t="b">
        <v>1</v>
      </c>
      <c r="AL180" s="243" t="b">
        <v>1</v>
      </c>
      <c r="AM180" s="243" t="b">
        <v>1</v>
      </c>
      <c r="AN180" s="243" t="b">
        <v>1</v>
      </c>
      <c r="AO180" s="243" t="b">
        <v>1</v>
      </c>
      <c r="AP180" s="243" t="b">
        <v>1</v>
      </c>
      <c r="AQ180" s="243" t="b">
        <v>1</v>
      </c>
      <c r="AR180" s="83" t="str">
        <f t="shared" si="53"/>
        <v>VALID</v>
      </c>
      <c r="AS180" s="209" t="s">
        <v>1333</v>
      </c>
      <c r="AT180" s="6" t="s">
        <v>102</v>
      </c>
      <c r="AU180" s="3" t="s">
        <v>106</v>
      </c>
      <c r="AV180" s="87"/>
      <c r="AW180" s="87"/>
      <c r="AX180" s="87"/>
      <c r="AY180" s="3"/>
      <c r="AZ180" s="3"/>
      <c r="BA180" s="12"/>
      <c r="BB180" s="183"/>
      <c r="BC180" s="16" t="s">
        <v>2709</v>
      </c>
      <c r="BD180" s="376"/>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GPIO_PC3</v>
      </c>
      <c r="AF181" s="85"/>
      <c r="AG181" s="80" t="str">
        <f t="shared" si="50"/>
        <v>PULL_UP</v>
      </c>
      <c r="AH181" s="80" t="str">
        <f t="shared" si="51"/>
        <v>NORMAL</v>
      </c>
      <c r="AI181" s="80" t="str">
        <f t="shared" si="52"/>
        <v>ENABLE</v>
      </c>
      <c r="AJ181" s="86" t="str">
        <f t="shared" si="48"/>
        <v/>
      </c>
      <c r="AK181" s="243" t="b">
        <v>1</v>
      </c>
      <c r="AL181" s="243" t="b">
        <v>1</v>
      </c>
      <c r="AM181" s="243" t="b">
        <v>1</v>
      </c>
      <c r="AN181" s="243" t="b">
        <v>1</v>
      </c>
      <c r="AO181" s="243" t="b">
        <v>1</v>
      </c>
      <c r="AP181" s="243" t="b">
        <v>1</v>
      </c>
      <c r="AQ181" s="243" t="b">
        <v>1</v>
      </c>
      <c r="AR181" s="83" t="str">
        <f t="shared" si="53"/>
        <v>VALID</v>
      </c>
      <c r="AS181" s="209" t="s">
        <v>1334</v>
      </c>
      <c r="AT181" s="6" t="s">
        <v>102</v>
      </c>
      <c r="AU181" s="3" t="s">
        <v>105</v>
      </c>
      <c r="AV181" s="87"/>
      <c r="AW181" s="87"/>
      <c r="AX181" s="87"/>
      <c r="AY181" s="3"/>
      <c r="AZ181" s="3"/>
      <c r="BA181" s="12"/>
      <c r="BB181" s="183"/>
      <c r="BC181" s="16" t="s">
        <v>2711</v>
      </c>
      <c r="BD181" s="376"/>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GPIO_PC4</v>
      </c>
      <c r="AF182" s="85"/>
      <c r="AG182" s="80" t="str">
        <f t="shared" si="50"/>
        <v>PULL_UP</v>
      </c>
      <c r="AH182" s="80" t="str">
        <f t="shared" si="51"/>
        <v>NORMAL</v>
      </c>
      <c r="AI182" s="80" t="str">
        <f t="shared" si="52"/>
        <v>ENABLE</v>
      </c>
      <c r="AJ182" s="86" t="str">
        <f t="shared" si="48"/>
        <v/>
      </c>
      <c r="AK182" s="243" t="b">
        <v>1</v>
      </c>
      <c r="AL182" s="243" t="b">
        <v>1</v>
      </c>
      <c r="AM182" s="243" t="b">
        <v>1</v>
      </c>
      <c r="AN182" s="243" t="b">
        <v>1</v>
      </c>
      <c r="AO182" s="243" t="b">
        <v>1</v>
      </c>
      <c r="AP182" s="243" t="b">
        <v>1</v>
      </c>
      <c r="AQ182" s="243" t="b">
        <v>1</v>
      </c>
      <c r="AR182" s="83" t="str">
        <f t="shared" si="53"/>
        <v>VALID</v>
      </c>
      <c r="AS182" s="209" t="s">
        <v>1335</v>
      </c>
      <c r="AT182" s="6" t="s">
        <v>102</v>
      </c>
      <c r="AU182" s="3" t="s">
        <v>105</v>
      </c>
      <c r="AV182" s="87"/>
      <c r="AW182" s="87"/>
      <c r="AX182" s="87"/>
      <c r="AY182" s="3"/>
      <c r="AZ182" s="3"/>
      <c r="BA182" s="12"/>
      <c r="BB182" s="183"/>
      <c r="BC182" s="16" t="s">
        <v>2712</v>
      </c>
      <c r="BD182" s="377"/>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hidden="1"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75" t="s">
        <v>2720</v>
      </c>
    </row>
    <row r="188" spans="1:56" ht="12.95" hidden="1"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76"/>
    </row>
    <row r="189" spans="1:56" ht="12.95" hidden="1"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76"/>
    </row>
    <row r="190" spans="1:56" ht="12.95" hidden="1"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77"/>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hidden="1"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hidden="1"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NORMAL</v>
      </c>
      <c r="AH198" s="80" t="str">
        <f t="shared" si="51"/>
        <v>NORMAL</v>
      </c>
      <c r="AI198" s="80" t="str">
        <f t="shared" si="52"/>
        <v>DISABLE</v>
      </c>
      <c r="AJ198" s="86" t="str">
        <f t="shared" si="48"/>
        <v>0</v>
      </c>
      <c r="AK198" s="243" t="b">
        <v>1</v>
      </c>
      <c r="AL198" s="243" t="b">
        <v>1</v>
      </c>
      <c r="AM198" s="243" t="b">
        <v>1</v>
      </c>
      <c r="AN198" s="243" t="b">
        <v>1</v>
      </c>
      <c r="AO198" s="243" t="b">
        <v>1</v>
      </c>
      <c r="AP198" s="243" t="b">
        <v>1</v>
      </c>
      <c r="AQ198" s="243" t="b">
        <v>1</v>
      </c>
      <c r="AR198" s="83" t="str">
        <f t="shared" si="53"/>
        <v>VALID</v>
      </c>
      <c r="AS198" s="209" t="s">
        <v>1270</v>
      </c>
      <c r="AT198" s="6" t="s">
        <v>99</v>
      </c>
      <c r="AU198" s="3" t="s">
        <v>104</v>
      </c>
      <c r="AV198" s="7"/>
      <c r="AW198" s="87"/>
      <c r="AX198" s="87"/>
      <c r="AY198" s="3"/>
      <c r="AZ198" s="3"/>
      <c r="BA198" s="12"/>
      <c r="BB198" s="183"/>
      <c r="BC198" s="16" t="s">
        <v>2806</v>
      </c>
      <c r="BD198" s="97" t="s">
        <v>2720</v>
      </c>
    </row>
    <row r="199" spans="1:56" ht="12.95" hidden="1"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hidden="1"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hidden="1"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NORMAL</v>
      </c>
      <c r="AH201" s="80" t="str">
        <f t="shared" si="51"/>
        <v>NORMAL</v>
      </c>
      <c r="AI201" s="80" t="str">
        <f t="shared" si="52"/>
        <v>DISABLE</v>
      </c>
      <c r="AJ201" s="86" t="str">
        <f t="shared" si="48"/>
        <v>0</v>
      </c>
      <c r="AK201" s="243" t="b">
        <v>1</v>
      </c>
      <c r="AL201" s="243" t="b">
        <v>1</v>
      </c>
      <c r="AM201" s="243" t="b">
        <v>1</v>
      </c>
      <c r="AN201" s="243" t="b">
        <v>1</v>
      </c>
      <c r="AO201" s="243" t="b">
        <v>1</v>
      </c>
      <c r="AP201" s="243" t="b">
        <v>1</v>
      </c>
      <c r="AQ201" s="243" t="b">
        <v>1</v>
      </c>
      <c r="AR201" s="83" t="str">
        <f t="shared" si="53"/>
        <v>VALID</v>
      </c>
      <c r="AS201" s="209" t="s">
        <v>1273</v>
      </c>
      <c r="AT201" s="6" t="s">
        <v>99</v>
      </c>
      <c r="AU201" s="3" t="s">
        <v>104</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75"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76"/>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76"/>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77"/>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75"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76"/>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76"/>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76"/>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76"/>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77"/>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75"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76"/>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76"/>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77"/>
    </row>
    <row r="218" spans="1:56" s="69" customFormat="1" ht="18" hidden="1"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2878</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hidden="1"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hidden="1"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75" t="s">
        <v>2873</v>
      </c>
    </row>
    <row r="225" spans="1:56" ht="12.95" hidden="1"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77"/>
    </row>
    <row r="226" spans="1:56" ht="12.95" hidden="1"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hidden="1"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NORMAL</v>
      </c>
      <c r="AH227" s="80" t="str">
        <f t="shared" si="57"/>
        <v>NORMAL</v>
      </c>
      <c r="AI227" s="80" t="str">
        <f>IF(OR($AS227=$G227,$AT227="Output"),"DISABLE","ENABLE")</f>
        <v>ENABLE</v>
      </c>
      <c r="AJ227" s="86" t="str">
        <f t="shared" si="48"/>
        <v>N/A</v>
      </c>
      <c r="AK227" s="243" t="b">
        <v>1</v>
      </c>
      <c r="AL227" s="243" t="b">
        <v>1</v>
      </c>
      <c r="AM227" s="243" t="b">
        <v>1</v>
      </c>
      <c r="AN227" s="243" t="b">
        <v>1</v>
      </c>
      <c r="AO227" s="243" t="b">
        <v>1</v>
      </c>
      <c r="AP227" s="243" t="b">
        <v>1</v>
      </c>
      <c r="AQ227" s="243" t="b">
        <v>1</v>
      </c>
      <c r="AR227" s="83" t="str">
        <f t="shared" si="59"/>
        <v>VALID</v>
      </c>
      <c r="AS227" s="213" t="s">
        <v>497</v>
      </c>
      <c r="AT227" s="6" t="s">
        <v>103</v>
      </c>
      <c r="AU227" s="3"/>
      <c r="AV227" s="87"/>
      <c r="AW227" s="87"/>
      <c r="AX227" s="7"/>
      <c r="AY227" s="3"/>
      <c r="AZ227" s="3"/>
      <c r="BA227" s="12"/>
      <c r="BB227" s="183"/>
      <c r="BC227" s="16" t="s">
        <v>2791</v>
      </c>
      <c r="BD227" s="375" t="s">
        <v>2715</v>
      </c>
    </row>
    <row r="228" spans="1:56" ht="12.95" hidden="1"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NORMAL</v>
      </c>
      <c r="AH228" s="80" t="str">
        <f t="shared" si="57"/>
        <v>NORMAL</v>
      </c>
      <c r="AI228" s="80" t="str">
        <f>IF(OR($AS228=$G228,$AT228="Output"),"DISABLE","ENABLE")</f>
        <v>ENABLE</v>
      </c>
      <c r="AJ228" s="86" t="str">
        <f t="shared" si="48"/>
        <v>N/A</v>
      </c>
      <c r="AK228" s="243" t="b">
        <v>1</v>
      </c>
      <c r="AL228" s="243" t="b">
        <v>1</v>
      </c>
      <c r="AM228" s="243" t="b">
        <v>1</v>
      </c>
      <c r="AN228" s="243" t="b">
        <v>1</v>
      </c>
      <c r="AO228" s="243" t="b">
        <v>1</v>
      </c>
      <c r="AP228" s="243" t="b">
        <v>1</v>
      </c>
      <c r="AQ228" s="243" t="b">
        <v>1</v>
      </c>
      <c r="AR228" s="83" t="str">
        <f t="shared" si="59"/>
        <v>VALID</v>
      </c>
      <c r="AS228" s="213" t="s">
        <v>498</v>
      </c>
      <c r="AT228" s="6" t="s">
        <v>103</v>
      </c>
      <c r="AU228" s="3"/>
      <c r="AV228" s="87"/>
      <c r="AW228" s="87"/>
      <c r="AX228" s="7"/>
      <c r="AY228" s="3"/>
      <c r="AZ228" s="3"/>
      <c r="BA228" s="12"/>
      <c r="BB228" s="183"/>
      <c r="BC228" s="16" t="s">
        <v>2790</v>
      </c>
      <c r="BD228" s="377"/>
    </row>
    <row r="229" spans="1:56" ht="12.95" hidden="1"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DP</v>
      </c>
      <c r="AF229" s="85"/>
      <c r="AG229" s="80" t="str">
        <f>IF(AND(OR($AU229="Int PU",$AU229="Int PD"),OR(AND($AY229&lt;&gt;"",$AY229&lt;&gt;"0"),AND($AZ229&lt;&gt;"",$AZ229&lt;&gt;"0"))),"INVALID",IF(OR($AS229=$G229,$AU229="Int PD"),"PULL_DOWN",IF(OR($AU229="Int PU",AND($AF229="YES",OR($AY229="",$AY229="0"),OR($AZ229="",$AZ229="0"),OR($AT229="Input",$AT229="Bidirectional"))),"PULL_UP","NORMAL")))</f>
        <v>NORMAL</v>
      </c>
      <c r="AH229" s="80" t="str">
        <f t="shared" si="57"/>
        <v>NORMAL</v>
      </c>
      <c r="AI229" s="80" t="str">
        <f>IF(OR($AS229=$G229,$AT229="Output"),"DISABLE","ENABLE")</f>
        <v>ENABLE</v>
      </c>
      <c r="AJ229" s="86" t="str">
        <f t="shared" si="48"/>
        <v>N/A</v>
      </c>
      <c r="AK229" s="243" t="b">
        <v>1</v>
      </c>
      <c r="AL229" s="243" t="b">
        <v>1</v>
      </c>
      <c r="AM229" s="243" t="b">
        <v>1</v>
      </c>
      <c r="AN229" s="243" t="b">
        <v>1</v>
      </c>
      <c r="AO229" s="243" t="b">
        <v>1</v>
      </c>
      <c r="AP229" s="243" t="b">
        <v>1</v>
      </c>
      <c r="AQ229" s="243" t="b">
        <v>1</v>
      </c>
      <c r="AR229" s="83" t="str">
        <f t="shared" si="59"/>
        <v>VALID</v>
      </c>
      <c r="AS229" s="216" t="s">
        <v>1294</v>
      </c>
      <c r="AT229" s="218" t="s">
        <v>102</v>
      </c>
      <c r="AU229" s="14"/>
      <c r="AV229" s="3" t="s">
        <v>1248</v>
      </c>
      <c r="AW229" s="15"/>
      <c r="AX229" s="14" t="s">
        <v>171</v>
      </c>
      <c r="AY229" s="14"/>
      <c r="AZ229" s="14"/>
      <c r="BA229" s="21"/>
      <c r="BB229" s="185"/>
      <c r="BC229" s="18" t="s">
        <v>568</v>
      </c>
      <c r="BD229" s="96" t="s">
        <v>389</v>
      </c>
    </row>
    <row r="230" spans="1:56" ht="12.95" hidden="1"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hidden="1"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hidden="1"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hidden="1"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75" t="s">
        <v>261</v>
      </c>
    </row>
    <row r="234" spans="1:56" s="109" customFormat="1" ht="12.95" hidden="1"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76"/>
    </row>
    <row r="235" spans="1:56" s="109" customFormat="1" ht="12.95" hidden="1"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76"/>
    </row>
    <row r="236" spans="1:56" s="109" customFormat="1" ht="12.95" hidden="1"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76"/>
    </row>
    <row r="237" spans="1:56" s="109" customFormat="1" ht="12.95" hidden="1"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76"/>
    </row>
    <row r="238" spans="1:56" s="109" customFormat="1" ht="12.95" hidden="1"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76"/>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hidden="1"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85" t="s">
        <v>1295</v>
      </c>
    </row>
    <row r="254" spans="1:56" s="109" customFormat="1" ht="12.95" hidden="1"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85"/>
    </row>
    <row r="255" spans="1:56" s="109" customFormat="1" ht="12.95" hidden="1"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85"/>
    </row>
    <row r="256" spans="1:56" s="109" customFormat="1" ht="12.95" hidden="1"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85"/>
    </row>
    <row r="257" spans="1:56" s="109" customFormat="1" ht="12.95" hidden="1"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85"/>
    </row>
    <row r="258" spans="1:56" s="109" customFormat="1" ht="12.95" hidden="1"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85"/>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hidden="1"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75" t="s">
        <v>2528</v>
      </c>
    </row>
    <row r="262" spans="1:56" s="109" customFormat="1" ht="12.95" hidden="1"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76"/>
    </row>
    <row r="263" spans="1:56" s="109" customFormat="1" ht="12.95" hidden="1"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76"/>
    </row>
    <row r="264" spans="1:56" s="109" customFormat="1" ht="12.95" hidden="1"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77"/>
    </row>
    <row r="265" spans="1:56" s="109" customFormat="1" ht="12.95" hidden="1"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85" t="s">
        <v>1297</v>
      </c>
    </row>
    <row r="266" spans="1:56" s="109" customFormat="1" ht="12.95" hidden="1"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85"/>
    </row>
    <row r="267" spans="1:56" s="109" customFormat="1" ht="12.95" hidden="1"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85"/>
    </row>
    <row r="268" spans="1:56" s="109" customFormat="1" ht="12.95" hidden="1"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85"/>
    </row>
    <row r="269" spans="1:56" s="109" customFormat="1" ht="12.95" hidden="1"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85"/>
    </row>
    <row r="270" spans="1:56" s="109" customFormat="1" ht="12.95" hidden="1"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85"/>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hidden="1"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75" t="s">
        <v>2527</v>
      </c>
    </row>
    <row r="274" spans="1:56" s="109" customFormat="1" ht="12.95" hidden="1"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76"/>
    </row>
    <row r="275" spans="1:56" s="109" customFormat="1" ht="12.95" hidden="1"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76"/>
    </row>
    <row r="276" spans="1:56" s="109" customFormat="1" ht="12.95" hidden="1"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77"/>
    </row>
    <row r="277" spans="1:56" s="109" customFormat="1" ht="12.95" hidden="1"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85" t="s">
        <v>1298</v>
      </c>
    </row>
    <row r="278" spans="1:56" s="109" customFormat="1" ht="12.95" hidden="1"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85"/>
    </row>
    <row r="279" spans="1:56" s="109" customFormat="1" ht="12.95" hidden="1"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85"/>
    </row>
    <row r="280" spans="1:56" s="109" customFormat="1" ht="12.95" hidden="1"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85"/>
    </row>
    <row r="281" spans="1:56" s="109" customFormat="1" ht="12.95" hidden="1"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85"/>
    </row>
    <row r="282" spans="1:56" s="109" customFormat="1" ht="12.95" hidden="1"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85"/>
    </row>
    <row r="283" spans="1:56" s="109" customFormat="1" ht="12.95" hidden="1"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76" t="s">
        <v>1296</v>
      </c>
    </row>
    <row r="284" spans="1:56" s="109" customFormat="1" ht="12.95" hidden="1"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76"/>
    </row>
    <row r="285" spans="1:56" s="109" customFormat="1" ht="12.95" hidden="1"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76"/>
    </row>
    <row r="286" spans="1:56" s="109" customFormat="1" ht="12.95" hidden="1"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76"/>
    </row>
    <row r="287" spans="1:56" s="109" customFormat="1" ht="12.95" hidden="1"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76"/>
    </row>
    <row r="288" spans="1:56" s="109" customFormat="1" ht="12.95" hidden="1"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77"/>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hidden="1"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hidden="1"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383" t="s">
        <v>2854</v>
      </c>
    </row>
    <row r="293" spans="1:56" s="109" customFormat="1" ht="12.95" hidden="1"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384"/>
    </row>
    <row r="294" spans="1:56" s="109" customFormat="1" ht="12.95" hidden="1"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384"/>
    </row>
    <row r="295" spans="1:56" s="109" customFormat="1" ht="12.95" hidden="1"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384"/>
    </row>
    <row r="296" spans="1:56" s="109" customFormat="1" ht="12.95" hidden="1"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384"/>
    </row>
    <row r="297" spans="1:56" s="109" customFormat="1" ht="12.95" hidden="1"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384"/>
    </row>
    <row r="298" spans="1:56" s="109" customFormat="1" ht="12.95" hidden="1"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384"/>
    </row>
    <row r="299" spans="1:56" s="109" customFormat="1" ht="12.95" hidden="1"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384"/>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384"/>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386"/>
    </row>
    <row r="302" spans="1:56" s="120" customFormat="1" ht="18" hidden="1"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hidden="1"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520</v>
      </c>
      <c r="AT303" s="87"/>
      <c r="AU303" s="87"/>
      <c r="AV303" s="87"/>
      <c r="AW303" s="87"/>
      <c r="AX303" s="87"/>
      <c r="AY303" s="87"/>
      <c r="AZ303" s="87"/>
      <c r="BA303" s="23"/>
      <c r="BB303" s="26"/>
      <c r="BC303" s="338" t="s">
        <v>2699</v>
      </c>
      <c r="BD303" s="383" t="s">
        <v>2715</v>
      </c>
    </row>
    <row r="304" spans="1:56" s="109" customFormat="1" ht="12.95" hidden="1"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521</v>
      </c>
      <c r="AT304" s="87"/>
      <c r="AU304" s="87"/>
      <c r="AV304" s="87"/>
      <c r="AW304" s="87"/>
      <c r="AX304" s="87"/>
      <c r="AY304" s="87"/>
      <c r="AZ304" s="87"/>
      <c r="BA304" s="23"/>
      <c r="BB304" s="87"/>
      <c r="BC304" s="339" t="s">
        <v>2700</v>
      </c>
      <c r="BD304" s="384"/>
    </row>
    <row r="305" spans="1:56" s="109" customFormat="1" ht="12.95" hidden="1"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522</v>
      </c>
      <c r="AT305" s="87"/>
      <c r="AU305" s="87"/>
      <c r="AV305" s="87"/>
      <c r="AW305" s="87"/>
      <c r="AX305" s="87"/>
      <c r="AY305" s="87"/>
      <c r="AZ305" s="87"/>
      <c r="BA305" s="23"/>
      <c r="BB305" s="87"/>
      <c r="BC305" s="339" t="s">
        <v>2701</v>
      </c>
      <c r="BD305" s="384"/>
    </row>
    <row r="306" spans="1:56" s="109" customFormat="1" ht="12.95" hidden="1"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523</v>
      </c>
      <c r="AT306" s="87"/>
      <c r="AU306" s="87"/>
      <c r="AV306" s="87"/>
      <c r="AW306" s="87"/>
      <c r="AX306" s="87"/>
      <c r="AY306" s="87"/>
      <c r="AZ306" s="87"/>
      <c r="BA306" s="23"/>
      <c r="BB306" s="87"/>
      <c r="BC306" s="339" t="s">
        <v>2702</v>
      </c>
      <c r="BD306" s="384"/>
    </row>
    <row r="307" spans="1:56" s="109" customFormat="1" ht="12.95" hidden="1"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524</v>
      </c>
      <c r="AT307" s="87"/>
      <c r="AU307" s="87"/>
      <c r="AV307" s="87"/>
      <c r="AW307" s="87"/>
      <c r="AX307" s="87"/>
      <c r="AY307" s="87"/>
      <c r="AZ307" s="87"/>
      <c r="BA307" s="23"/>
      <c r="BB307" s="87"/>
      <c r="BC307" s="339" t="s">
        <v>2703</v>
      </c>
      <c r="BD307" s="384"/>
    </row>
    <row r="308" spans="1:56" s="109" customFormat="1" ht="12.95" hidden="1"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525</v>
      </c>
      <c r="AT308" s="87"/>
      <c r="AU308" s="87"/>
      <c r="AV308" s="87"/>
      <c r="AW308" s="87"/>
      <c r="AX308" s="87"/>
      <c r="AY308" s="87"/>
      <c r="AZ308" s="87"/>
      <c r="BA308" s="23"/>
      <c r="BB308" s="87"/>
      <c r="BC308" s="339" t="s">
        <v>2704</v>
      </c>
      <c r="BD308" s="384"/>
    </row>
    <row r="309" spans="1:56" s="109" customFormat="1" ht="12.95" hidden="1"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526</v>
      </c>
      <c r="AT309" s="87"/>
      <c r="AU309" s="87"/>
      <c r="AV309" s="87"/>
      <c r="AW309" s="87"/>
      <c r="AX309" s="87"/>
      <c r="AY309" s="87"/>
      <c r="AZ309" s="87"/>
      <c r="BA309" s="23"/>
      <c r="BB309" s="87"/>
      <c r="BC309" s="339" t="s">
        <v>2705</v>
      </c>
      <c r="BD309" s="384"/>
    </row>
    <row r="310" spans="1:56" s="109" customFormat="1" ht="12.95" hidden="1"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527</v>
      </c>
      <c r="AT310" s="87"/>
      <c r="AU310" s="87"/>
      <c r="AV310" s="87"/>
      <c r="AW310" s="87"/>
      <c r="AX310" s="87"/>
      <c r="AY310" s="87"/>
      <c r="AZ310" s="87"/>
      <c r="BA310" s="23"/>
      <c r="BB310" s="87"/>
      <c r="BC310" s="339" t="s">
        <v>2706</v>
      </c>
      <c r="BD310" s="384"/>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384"/>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386"/>
    </row>
    <row r="313" spans="1:56" s="120" customFormat="1" ht="18" hidden="1"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hidden="1"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hidden="1"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387" t="s">
        <v>2714</v>
      </c>
    </row>
    <row r="319" spans="1:56" s="109" customFormat="1" ht="12.95" hidden="1"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387"/>
    </row>
    <row r="320" spans="1:56" s="109" customFormat="1" ht="12.95" hidden="1"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387" t="s">
        <v>2727</v>
      </c>
    </row>
    <row r="321" spans="1:56" s="109" customFormat="1" ht="12.95" hidden="1"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387"/>
    </row>
    <row r="322" spans="1:56" s="109" customFormat="1" ht="12.95" hidden="1"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387" t="s">
        <v>2720</v>
      </c>
    </row>
    <row r="323" spans="1:56" s="109" customFormat="1" ht="12.95" hidden="1"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387"/>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hidden="1"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380"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381"/>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381"/>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382"/>
    </row>
    <row r="332" spans="1:56" s="109" customFormat="1" ht="12.95" hidden="1"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380" t="s">
        <v>2720</v>
      </c>
    </row>
    <row r="333" spans="1:56" s="109" customFormat="1" ht="12.95" hidden="1"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381"/>
    </row>
    <row r="334" spans="1:56" s="109" customFormat="1" ht="12.95" hidden="1"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381"/>
    </row>
    <row r="335" spans="1:56" s="109" customFormat="1" ht="12.95" hidden="1"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381"/>
    </row>
    <row r="336" spans="1:56" s="109" customFormat="1" ht="12.95" hidden="1"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380"/>
    </row>
    <row r="337" spans="1:56" s="109" customFormat="1" ht="12.95" hidden="1"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381"/>
    </row>
    <row r="338" spans="1:56" s="109" customFormat="1" ht="12.95" hidden="1"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381"/>
    </row>
    <row r="339" spans="1:56" s="109" customFormat="1" ht="12.95" hidden="1"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381"/>
    </row>
    <row r="340" spans="1:56" s="109" customFormat="1" ht="12.95" hidden="1"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380"/>
    </row>
    <row r="341" spans="1:56" s="109" customFormat="1" ht="12.95" hidden="1"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381"/>
    </row>
    <row r="342" spans="1:56" s="109" customFormat="1" ht="12.95" hidden="1"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381"/>
    </row>
    <row r="343" spans="1:56" s="109" customFormat="1" ht="12.95" hidden="1"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382"/>
    </row>
    <row r="344" spans="1:56" s="109" customFormat="1" ht="12.95" hidden="1"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380"/>
    </row>
    <row r="345" spans="1:56" s="109" customFormat="1" ht="12.95" hidden="1"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381"/>
    </row>
    <row r="346" spans="1:56" s="109" customFormat="1" ht="12.95" hidden="1"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381"/>
    </row>
    <row r="347" spans="1:56" s="109" customFormat="1" ht="12.95" hidden="1"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382"/>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hidden="1"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380" t="s">
        <v>2727</v>
      </c>
    </row>
    <row r="353" spans="1:56" s="109" customFormat="1" ht="12.95" hidden="1"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381"/>
    </row>
    <row r="354" spans="1:56" s="109" customFormat="1" ht="12.95" hidden="1"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381"/>
    </row>
    <row r="355" spans="1:56" s="109" customFormat="1" ht="12.95" hidden="1"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382"/>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383"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384"/>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384"/>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384"/>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384"/>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384"/>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384"/>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384"/>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384"/>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384"/>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384"/>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384"/>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384"/>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384"/>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384"/>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384"/>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384"/>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384"/>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384"/>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384"/>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384"/>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384"/>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384"/>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384"/>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384"/>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384"/>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384"/>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384"/>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384"/>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384"/>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384"/>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384"/>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384"/>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384"/>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384"/>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384"/>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384"/>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384"/>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384"/>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384"/>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384"/>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384"/>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384"/>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384"/>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384"/>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384"/>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384"/>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384"/>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384"/>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384"/>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384"/>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384"/>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384"/>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384"/>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384"/>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384"/>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384"/>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384"/>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384"/>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384"/>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384"/>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384"/>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384"/>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384"/>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384"/>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384"/>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384"/>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384"/>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384"/>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384"/>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384"/>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384"/>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384"/>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384"/>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384"/>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384"/>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384"/>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384"/>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384"/>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384"/>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384"/>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384"/>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384"/>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384"/>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384"/>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384"/>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384"/>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384"/>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384"/>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384"/>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384"/>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384"/>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384"/>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384"/>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384"/>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384"/>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384"/>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384"/>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384"/>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384"/>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384"/>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384"/>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384"/>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384"/>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384"/>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384"/>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384"/>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384"/>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384"/>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384"/>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384"/>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384"/>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384"/>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384"/>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384"/>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384"/>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384"/>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384"/>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384"/>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384"/>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384"/>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384"/>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384"/>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384"/>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384"/>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384"/>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384"/>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384"/>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384"/>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384"/>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384"/>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384"/>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384"/>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384"/>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384"/>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384"/>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384"/>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384"/>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384"/>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384"/>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384"/>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384"/>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384"/>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384"/>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378"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379"/>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AS6:BA6"/>
    <mergeCell ref="E1:L1"/>
    <mergeCell ref="E2:M2"/>
    <mergeCell ref="E3:L3"/>
    <mergeCell ref="E4:L4"/>
    <mergeCell ref="E5:L5"/>
    <mergeCell ref="E6:F6"/>
    <mergeCell ref="H6:L6"/>
    <mergeCell ref="M6:Q6"/>
    <mergeCell ref="R6:V6"/>
    <mergeCell ref="X6:Z6"/>
    <mergeCell ref="AB6:AD6"/>
    <mergeCell ref="AE6:AJ6"/>
    <mergeCell ref="AK6:AR6"/>
    <mergeCell ref="BD142:BD145"/>
    <mergeCell ref="BD6:BD8"/>
    <mergeCell ref="BD20:BD24"/>
    <mergeCell ref="BD26:BD29"/>
    <mergeCell ref="BD34:BD35"/>
    <mergeCell ref="BD55:BD56"/>
    <mergeCell ref="BD91:BD104"/>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283:BD288"/>
    <mergeCell ref="BD292:BD301"/>
    <mergeCell ref="BD303:BD312"/>
    <mergeCell ref="BD318:BD319"/>
    <mergeCell ref="BD320:BD321"/>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Jetson_Nano_DevKit</vt:lpstr>
      <vt:lpstr>Jetson_Nano_DevKit!AllowedPinDirection_GPIO</vt:lpstr>
      <vt:lpstr>Jetson_Nano_DevKit!AllowedPinDirection_SFIO0</vt:lpstr>
      <vt:lpstr>Jetson_Nano_DevKit!AllowedPinDirection_SFIO1</vt:lpstr>
      <vt:lpstr>Jetson_Nano_DevKit!AllowedPinDirection_SFIO2</vt:lpstr>
      <vt:lpstr>Jetson_Nano_DevKit!AllowedPinDirection_SFIO3</vt:lpstr>
      <vt:lpstr>Jetson_Nano_DevKit!Boot_Config_Checker</vt:lpstr>
      <vt:lpstr>Jetson_Nano_DevKit!BootDevice</vt:lpstr>
      <vt:lpstr>Jetson_Nano_DevKit!BootInterface</vt:lpstr>
      <vt:lpstr>Jetson_Nano_DevKit!BootInterfaceConfig</vt:lpstr>
      <vt:lpstr>Jetson_Nano_DevKit!ConfigFirstCell</vt:lpstr>
      <vt:lpstr>Jetson_Nano_DevKit!ConfigLastCell</vt:lpstr>
      <vt:lpstr>Jetson_Nano_DevKit!Customer_Usage</vt:lpstr>
      <vt:lpstr>Jetson_Nano_DevKit!Customer_Usage_Checker</vt:lpstr>
      <vt:lpstr>Jetson_Nano_DevKit!E_Input</vt:lpstr>
      <vt:lpstr>Jetson_Nano_DevKit!Error_Check</vt:lpstr>
      <vt:lpstr>Jetson_Nano_DevKit!Ext_Pull_Down</vt:lpstr>
      <vt:lpstr>Jetson_Nano_DevKit!Ext_Pull_Up</vt:lpstr>
      <vt:lpstr>Jetson_Nano_DevKit!FirstMPIO</vt:lpstr>
      <vt:lpstr>Jetson_Nano_DevKit!FirstPinMuxingOption</vt:lpstr>
      <vt:lpstr>Jetson_Nano_DevKit!Function_0</vt:lpstr>
      <vt:lpstr>Jetson_Nano_DevKit!Function_Safe</vt:lpstr>
      <vt:lpstr>Jetson_Nano_DevKit!GPIO_Init_Value</vt:lpstr>
      <vt:lpstr>Jetson_Nano_DevKit!Initial_State</vt:lpstr>
      <vt:lpstr>Jetson_Nano_DevKit!Initial_State_Checker</vt:lpstr>
      <vt:lpstr>Jetson_Nano_DevKit!LastMPIO</vt:lpstr>
      <vt:lpstr>Jetson_Nano_DevKit!Lock</vt:lpstr>
      <vt:lpstr>Jetson_Nano_DevKit!MPIOName</vt:lpstr>
      <vt:lpstr>Jetson_Nano_DevKit!PartOfBootInterface</vt:lpstr>
      <vt:lpstr>Jetson_Nano_DevKit!Pin_Direction</vt:lpstr>
      <vt:lpstr>Jetson_Nano_DevKit!Pin_Direction_Checker</vt:lpstr>
      <vt:lpstr>Jetson_Nano_DevKit!Pin_Group</vt:lpstr>
      <vt:lpstr>Jetson_Nano_DevKit!Pinmux_GPIO</vt:lpstr>
      <vt:lpstr>Jetson_Nano_DevKit!Pinmux_SFIO0</vt:lpstr>
      <vt:lpstr>Jetson_Nano_DevKit!Pinmux_SFIO1</vt:lpstr>
      <vt:lpstr>Jetson_Nano_DevKit!Pinmux_SFIO2</vt:lpstr>
      <vt:lpstr>Jetson_Nano_DevKit!Pinmux_SFIO3</vt:lpstr>
      <vt:lpstr>Jetson_Nano_DevKit!Pinmux_Unused</vt:lpstr>
      <vt:lpstr>Jetson_Nano_DevKit!PUPD</vt:lpstr>
      <vt:lpstr>Jetson_Nano_DevKit!RCV_SEL</vt:lpstr>
      <vt:lpstr>Jetson_Nano_DevKit!RCV_SEL_Checker</vt:lpstr>
      <vt:lpstr>Jetson_Nano_DevKit!Resistor_Checker</vt:lpstr>
      <vt:lpstr>Jetson_Nano_DevKit!Tristate</vt:lpstr>
      <vt:lpstr>Jetson_Nano_DevKit!Wake_Checker</vt:lpstr>
      <vt:lpstr>Jetson_Nano_DevKit!Wake_Pin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Richard Shen</cp:lastModifiedBy>
  <cp:lastPrinted>2012-04-03T22:50:50Z</cp:lastPrinted>
  <dcterms:created xsi:type="dcterms:W3CDTF">2011-01-18T21:59:40Z</dcterms:created>
  <dcterms:modified xsi:type="dcterms:W3CDTF">2019-12-04T19:39:41Z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